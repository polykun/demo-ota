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omments8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omments9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hoagy013v\国民生活事業\企業支援室\02 企業支援室（抜本再生班）\10 シグナル（経営改善に向けた考え方改正）\10 改正\01 改正\08_ＨＰ掲載申請\"/>
    </mc:Choice>
  </mc:AlternateContent>
  <xr:revisionPtr revIDLastSave="0" documentId="13_ncr:1_{972B38F1-6C1C-40E6-B3BB-9B544E39AF02}" xr6:coauthVersionLast="46" xr6:coauthVersionMax="46" xr10:uidLastSave="{00000000-0000-0000-0000-000000000000}"/>
  <bookViews>
    <workbookView xWindow="-120" yWindow="-120" windowWidth="29040" windowHeight="15840" firstSheet="3" activeTab="3" xr2:uid="{00000000-000D-0000-FFFF-FFFF00000000}"/>
  </bookViews>
  <sheets>
    <sheet name="製造業編" sheetId="6" r:id="rId1"/>
    <sheet name="卸売業編" sheetId="9" r:id="rId2"/>
    <sheet name="小売業編" sheetId="10" r:id="rId3"/>
    <sheet name="サービス業編" sheetId="11" r:id="rId4"/>
    <sheet name="飲食業編" sheetId="12" r:id="rId5"/>
    <sheet name="建設業編" sheetId="13" r:id="rId6"/>
    <sheet name="宿泊業編" sheetId="14" r:id="rId7"/>
    <sheet name="医療・福祉業編" sheetId="15" r:id="rId8"/>
    <sheet name="運輸業編" sheetId="16" r:id="rId9"/>
  </sheets>
  <definedNames>
    <definedName name="_xlnm.Print_Area" localSheetId="3">サービス業編!$A$1:$AO$38</definedName>
    <definedName name="_xlnm.Print_Area" localSheetId="7">医療・福祉業編!$A$1:$AO$38</definedName>
    <definedName name="_xlnm.Print_Area" localSheetId="4">飲食業編!$A$1:$AO$38</definedName>
    <definedName name="_xlnm.Print_Area" localSheetId="8">運輸業編!$A$1:$AO$38</definedName>
    <definedName name="_xlnm.Print_Area" localSheetId="1">卸売業編!$A$1:$AO$38</definedName>
    <definedName name="_xlnm.Print_Area" localSheetId="5">建設業編!$A$1:$AO$38</definedName>
    <definedName name="_xlnm.Print_Area" localSheetId="6">宿泊業編!$A$1:$AO$38</definedName>
    <definedName name="_xlnm.Print_Area" localSheetId="2">小売業編!$A$1:$AO$38</definedName>
    <definedName name="_xlnm.Print_Area" localSheetId="0">製造業編!$A$1:$AO$38</definedName>
  </definedNames>
  <calcPr calcId="0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" i="16" l="1"/>
  <c r="Q16" i="16"/>
  <c r="M16" i="16"/>
  <c r="L16" i="16"/>
  <c r="R15" i="16"/>
  <c r="Q15" i="16"/>
  <c r="M15" i="16"/>
  <c r="L15" i="16"/>
  <c r="R14" i="16"/>
  <c r="Q14" i="16"/>
  <c r="M14" i="16"/>
  <c r="L14" i="16"/>
  <c r="R13" i="16"/>
  <c r="Q13" i="16"/>
  <c r="M13" i="16"/>
  <c r="L13" i="16"/>
  <c r="R16" i="15"/>
  <c r="Q16" i="15"/>
  <c r="M16" i="15"/>
  <c r="L16" i="15"/>
  <c r="R15" i="15"/>
  <c r="Q15" i="15"/>
  <c r="M15" i="15"/>
  <c r="L15" i="15"/>
  <c r="R14" i="15"/>
  <c r="Q14" i="15"/>
  <c r="M14" i="15"/>
  <c r="L14" i="15"/>
  <c r="R13" i="15"/>
  <c r="Q13" i="15"/>
  <c r="M13" i="15"/>
  <c r="L13" i="15"/>
  <c r="Q14" i="14"/>
  <c r="Q14" i="11"/>
  <c r="Q14" i="10"/>
  <c r="Q14" i="9"/>
  <c r="Q14" i="12"/>
  <c r="R14" i="12"/>
  <c r="R14" i="14" l="1"/>
  <c r="R16" i="14"/>
  <c r="Q16" i="14"/>
  <c r="M16" i="14"/>
  <c r="L16" i="14"/>
  <c r="R15" i="14"/>
  <c r="Q15" i="14"/>
  <c r="M15" i="14"/>
  <c r="L15" i="14"/>
  <c r="M14" i="14"/>
  <c r="L14" i="14"/>
  <c r="R13" i="14"/>
  <c r="Q13" i="14"/>
  <c r="M13" i="14"/>
  <c r="L13" i="14"/>
  <c r="R14" i="13"/>
  <c r="R16" i="13"/>
  <c r="Q16" i="13"/>
  <c r="M16" i="13"/>
  <c r="L16" i="13"/>
  <c r="R15" i="13"/>
  <c r="Q15" i="13"/>
  <c r="M15" i="13"/>
  <c r="L15" i="13"/>
  <c r="Q14" i="13"/>
  <c r="M14" i="13"/>
  <c r="L14" i="13"/>
  <c r="R13" i="13"/>
  <c r="Q13" i="13"/>
  <c r="M13" i="13"/>
  <c r="L13" i="13"/>
  <c r="M13" i="12"/>
  <c r="R16" i="12"/>
  <c r="Q16" i="12"/>
  <c r="M16" i="12"/>
  <c r="L16" i="12"/>
  <c r="R15" i="12"/>
  <c r="Q15" i="12"/>
  <c r="M15" i="12"/>
  <c r="L15" i="12"/>
  <c r="M14" i="12"/>
  <c r="L14" i="12"/>
  <c r="R13" i="12"/>
  <c r="Q13" i="12"/>
  <c r="L13" i="12"/>
  <c r="R14" i="11"/>
  <c r="R16" i="11"/>
  <c r="Q16" i="11"/>
  <c r="M16" i="11"/>
  <c r="L16" i="11"/>
  <c r="R15" i="11"/>
  <c r="Q15" i="11"/>
  <c r="M15" i="11"/>
  <c r="L15" i="11"/>
  <c r="M14" i="11"/>
  <c r="L14" i="11"/>
  <c r="R13" i="11"/>
  <c r="Q13" i="11"/>
  <c r="M13" i="11"/>
  <c r="L13" i="11"/>
  <c r="R16" i="10"/>
  <c r="Q16" i="10"/>
  <c r="M16" i="10"/>
  <c r="L16" i="10"/>
  <c r="R15" i="10"/>
  <c r="Q15" i="10"/>
  <c r="M15" i="10"/>
  <c r="L15" i="10"/>
  <c r="R14" i="10"/>
  <c r="M14" i="10"/>
  <c r="L14" i="10"/>
  <c r="R13" i="10"/>
  <c r="Q13" i="10"/>
  <c r="M13" i="10"/>
  <c r="L13" i="10"/>
  <c r="R16" i="9"/>
  <c r="R15" i="9"/>
  <c r="R14" i="9"/>
  <c r="R13" i="9"/>
  <c r="M13" i="9"/>
  <c r="Q16" i="9"/>
  <c r="M16" i="9"/>
  <c r="L16" i="9"/>
  <c r="Q15" i="9"/>
  <c r="M15" i="9"/>
  <c r="L15" i="9"/>
  <c r="M14" i="9"/>
  <c r="L14" i="9"/>
  <c r="Q13" i="9"/>
  <c r="L13" i="9"/>
  <c r="L13" i="6"/>
  <c r="M13" i="6"/>
  <c r="L14" i="6"/>
  <c r="M14" i="6"/>
  <c r="L15" i="6"/>
  <c r="M15" i="6"/>
  <c r="L16" i="6"/>
  <c r="M16" i="6"/>
  <c r="R16" i="6"/>
  <c r="Q16" i="6"/>
  <c r="R15" i="6"/>
  <c r="Q15" i="6"/>
  <c r="R14" i="6"/>
  <c r="Q14" i="6"/>
  <c r="R13" i="6"/>
  <c r="Q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7AC7D672-9429-4DCC-8A89-899DAC56D964}">
      <text>
        <r>
          <rPr>
            <b/>
            <sz val="16"/>
            <color indexed="81"/>
            <rFont val="HG丸ｺﾞｼｯｸM-PRO"/>
            <family val="3"/>
            <charset val="128"/>
          </rPr>
          <t>（例）長年、原材料の見直しを行っていなかったが、　　
　　　割高ではないだろうか　</t>
        </r>
      </text>
    </comment>
    <comment ref="Z14" authorId="0" shapeId="0" xr:uid="{8D1FC447-9FDA-49BF-BD81-269BE4F9E31D}">
      <text>
        <r>
          <rPr>
            <b/>
            <sz val="16"/>
            <color indexed="81"/>
            <rFont val="HG丸ｺﾞｼｯｸM-PRO"/>
            <family val="3"/>
            <charset val="128"/>
          </rPr>
          <t>（例）生産コストを抑えるために新しい設備を導入した
　　　いけど、資金の手当てが難しい</t>
        </r>
      </text>
    </comment>
    <comment ref="AF14" authorId="0" shapeId="0" xr:uid="{4CBCF7B9-29B5-440D-9C25-C5B37E8451F8}">
      <text>
        <r>
          <rPr>
            <b/>
            <sz val="16"/>
            <color indexed="81"/>
            <rFont val="HG丸ｺﾞｼｯｸM-PRO"/>
            <family val="3"/>
            <charset val="128"/>
          </rPr>
          <t>（例）主要材料は海外で生産されているが、最近円安が進んでいるため、仕入値が高騰してきた</t>
        </r>
      </text>
    </comment>
    <comment ref="U18" authorId="0" shapeId="0" xr:uid="{423E0CC4-6AA9-46E0-AD1F-4F93B0FDB09E}">
      <text>
        <r>
          <rPr>
            <b/>
            <sz val="16"/>
            <color indexed="81"/>
            <rFont val="HG丸ｺﾞｼｯｸM-PRO"/>
            <family val="3"/>
            <charset val="128"/>
          </rPr>
          <t>（例）営業担当のスキルやノウハウを
　　　どうやって承継していこうか</t>
        </r>
      </text>
    </comment>
    <comment ref="Z18" authorId="0" shapeId="0" xr:uid="{31AC506F-8566-4AE4-A771-D17B4B02952A}">
      <text>
        <r>
          <rPr>
            <b/>
            <sz val="16"/>
            <color indexed="81"/>
            <rFont val="HG丸ｺﾞｼｯｸM-PRO"/>
            <family val="3"/>
            <charset val="128"/>
          </rPr>
          <t>（例）顧客の意見はあまり聞いたことがないが、　　　　　
　　　評判はどうだろうか　</t>
        </r>
      </text>
    </comment>
    <comment ref="AF18" authorId="0" shapeId="0" xr:uid="{D669B4B5-32AB-4621-9667-367345ABD92D}">
      <text>
        <r>
          <rPr>
            <b/>
            <sz val="16"/>
            <color indexed="81"/>
            <rFont val="HG丸ｺﾞｼｯｸM-PRO"/>
            <family val="3"/>
            <charset val="128"/>
          </rPr>
          <t xml:space="preserve">
（例）元請先1社に頼り切っているため、少々無理な価格でも受注している</t>
        </r>
      </text>
    </comment>
    <comment ref="U22" authorId="0" shapeId="0" xr:uid="{22D27354-26A2-4B33-B844-6811C14110EE}">
      <text>
        <r>
          <rPr>
            <b/>
            <sz val="16"/>
            <color indexed="81"/>
            <rFont val="HG丸ｺﾞｼｯｸM-PRO"/>
            <family val="3"/>
            <charset val="128"/>
          </rPr>
          <t>（例）製造の現場や営業を取り仕切れる人材がいない</t>
        </r>
      </text>
    </comment>
    <comment ref="Z22" authorId="0" shapeId="0" xr:uid="{8D95805A-A01B-4AA4-B421-D4C3CA4FF135}">
      <text>
        <r>
          <rPr>
            <b/>
            <sz val="16"/>
            <color indexed="81"/>
            <rFont val="HG丸ｺﾞｼｯｸM-PRO"/>
            <family val="3"/>
            <charset val="128"/>
          </rPr>
          <t>（例）長年設備投資は行っていないが、
　　　生産効率が悪くなってはいないだろうか</t>
        </r>
      </text>
    </comment>
    <comment ref="AF22" authorId="0" shapeId="0" xr:uid="{1A18CD44-8348-4930-A023-ACA7F16BD247}">
      <text>
        <r>
          <rPr>
            <b/>
            <sz val="16"/>
            <color indexed="81"/>
            <rFont val="HG丸ｺﾞｼｯｸM-PRO"/>
            <family val="3"/>
            <charset val="128"/>
          </rPr>
          <t xml:space="preserve">
（例）ライバル企業が低価格で受注できるので、取引先が流れている気がする</t>
        </r>
      </text>
    </comment>
    <comment ref="U29" authorId="0" shapeId="0" xr:uid="{565EDACD-DA95-40EE-8345-BE98384A3452}">
      <text>
        <r>
          <rPr>
            <b/>
            <sz val="16"/>
            <color indexed="81"/>
            <rFont val="HG丸ｺﾞｼｯｸM-PRO"/>
            <family val="3"/>
            <charset val="128"/>
          </rPr>
          <t>（例）売掛金の回収サイトが長期化して
　　　資金繰りが大変だ</t>
        </r>
      </text>
    </comment>
    <comment ref="Z29" authorId="0" shapeId="0" xr:uid="{6C49468C-B91B-47B3-B29A-221D57E411E7}">
      <text>
        <r>
          <rPr>
            <b/>
            <sz val="16"/>
            <color indexed="81"/>
            <rFont val="HG丸ｺﾞｼｯｸM-PRO"/>
            <family val="3"/>
            <charset val="128"/>
          </rPr>
          <t>（例）同業他社の事例は聞いたことがなかった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C094AFE7-8924-404F-8F86-70705AC34315}">
      <text>
        <r>
          <rPr>
            <b/>
            <sz val="16"/>
            <color indexed="81"/>
            <rFont val="HG丸ｺﾞｼｯｸM-PRO"/>
            <family val="3"/>
            <charset val="128"/>
          </rPr>
          <t>（例）自社商品を企画したいがアイデアが出てこない</t>
        </r>
      </text>
    </comment>
    <comment ref="Z14" authorId="0" shapeId="0" xr:uid="{4AD4901C-AAB9-428E-9C6E-7100716C6826}">
      <text>
        <r>
          <rPr>
            <b/>
            <sz val="16"/>
            <color indexed="81"/>
            <rFont val="HG丸ｺﾞｼｯｸM-PRO"/>
            <family val="3"/>
            <charset val="128"/>
          </rPr>
          <t>（例）売れ筋商品をもっと仕入したいが、
　　　資金が足りない</t>
        </r>
      </text>
    </comment>
    <comment ref="AF14" authorId="0" shapeId="0" xr:uid="{9AD69040-6A5D-48AE-8755-80AEBE0BDB09}">
      <text>
        <r>
          <rPr>
            <b/>
            <sz val="16"/>
            <color indexed="81"/>
            <rFont val="HG丸ｺﾞｼｯｸM-PRO"/>
            <family val="3"/>
            <charset val="128"/>
          </rPr>
          <t>（例）個人間で取引ができるサイトが発展してきた</t>
        </r>
      </text>
    </comment>
    <comment ref="U18" authorId="0" shapeId="0" xr:uid="{6E334DD2-72F8-4B9A-AD19-95443D432DA7}">
      <text>
        <r>
          <rPr>
            <b/>
            <sz val="16"/>
            <color indexed="81"/>
            <rFont val="HG丸ｺﾞｼｯｸM-PRO"/>
            <family val="3"/>
            <charset val="128"/>
          </rPr>
          <t>（例）今より安く仕入できる方法について
　　　検討したことがない</t>
        </r>
      </text>
    </comment>
    <comment ref="Z18" authorId="0" shapeId="0" xr:uid="{3C39EB84-2689-43D7-A8AC-79F08CC64C68}">
      <text>
        <r>
          <rPr>
            <b/>
            <sz val="16"/>
            <color indexed="81"/>
            <rFont val="HG丸ｺﾞｼｯｸM-PRO"/>
            <family val="3"/>
            <charset val="128"/>
          </rPr>
          <t>（例）当社で一番利益を産んでいるのは
　　　どの商品か分からない</t>
        </r>
      </text>
    </comment>
    <comment ref="AF18" authorId="0" shapeId="0" xr:uid="{26391161-C4B4-4BD5-89E8-F68A78F968AE}">
      <text>
        <r>
          <rPr>
            <b/>
            <sz val="16"/>
            <color indexed="81"/>
            <rFont val="HG丸ｺﾞｼｯｸM-PRO"/>
            <family val="3"/>
            <charset val="128"/>
          </rPr>
          <t>（例）仕入先が値上げを要請してきたが、他に仕入ルートがないので応じざるを得ない</t>
        </r>
        <r>
          <rPr>
            <sz val="16"/>
            <color indexed="81"/>
            <rFont val="HG丸ｺﾞｼｯｸM-PRO"/>
            <family val="3"/>
            <charset val="128"/>
          </rPr>
          <t xml:space="preserve">
</t>
        </r>
      </text>
    </comment>
    <comment ref="U22" authorId="0" shapeId="0" xr:uid="{852D8FB3-472C-4280-90A5-60278878544C}">
      <text>
        <r>
          <rPr>
            <b/>
            <sz val="16"/>
            <color indexed="81"/>
            <rFont val="HG丸ｺﾞｼｯｸM-PRO"/>
            <family val="3"/>
            <charset val="128"/>
          </rPr>
          <t>（例）従業員は自発的に営業に取り組んでくれない</t>
        </r>
      </text>
    </comment>
    <comment ref="Z22" authorId="0" shapeId="0" xr:uid="{AC37865C-9D8E-486E-9A9C-AB1477A5B362}">
      <text>
        <r>
          <rPr>
            <b/>
            <sz val="16"/>
            <color indexed="81"/>
            <rFont val="HG丸ｺﾞｼｯｸM-PRO"/>
            <family val="3"/>
            <charset val="128"/>
          </rPr>
          <t>（例）仕入のラインナップは長い間変わっていないが、
　　　飽きられていないだろうか</t>
        </r>
      </text>
    </comment>
    <comment ref="AF22" authorId="0" shapeId="0" xr:uid="{7ADE5208-D15B-4DA2-ACC8-29111AED06D8}">
      <text>
        <r>
          <rPr>
            <b/>
            <sz val="16"/>
            <color indexed="81"/>
            <rFont val="HG丸ｺﾞｼｯｸM-PRO"/>
            <family val="3"/>
            <charset val="128"/>
          </rPr>
          <t>（例）競合先は、大量仕入により、当社よりも安い価格で仕入できている</t>
        </r>
      </text>
    </comment>
    <comment ref="U29" authorId="0" shapeId="0" xr:uid="{AEC60022-FAAE-4050-990C-E4692629F6EC}">
      <text>
        <r>
          <rPr>
            <b/>
            <sz val="16"/>
            <color indexed="81"/>
            <rFont val="HG丸ｺﾞｼｯｸM-PRO"/>
            <family val="3"/>
            <charset val="128"/>
          </rPr>
          <t>（例）仕入サイトが短く、資金繰りが大変だ</t>
        </r>
      </text>
    </comment>
    <comment ref="Z29" authorId="0" shapeId="0" xr:uid="{132B62AB-748F-4B2C-8FED-BDFF8B5F84DA}">
      <text>
        <r>
          <rPr>
            <b/>
            <sz val="16"/>
            <color indexed="81"/>
            <rFont val="HG丸ｺﾞｼｯｸM-PRO"/>
            <family val="3"/>
            <charset val="128"/>
          </rPr>
          <t>（例）エンドユーザーの評価は
　　　どうやって確認すればよいのだろうか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C615B08B-0144-4F20-AE65-1731722FD13E}">
      <text>
        <r>
          <rPr>
            <b/>
            <sz val="16"/>
            <color indexed="81"/>
            <rFont val="HG丸ｺﾞｼｯｸM-PRO"/>
            <family val="3"/>
            <charset val="128"/>
          </rPr>
          <t>（例）オリジナル商品を企画したいが方法が分からない</t>
        </r>
      </text>
    </comment>
    <comment ref="Z14" authorId="0" shapeId="0" xr:uid="{98DC816E-80E7-40A2-B96E-1A1196DA80A4}">
      <text>
        <r>
          <rPr>
            <b/>
            <sz val="16"/>
            <color indexed="81"/>
            <rFont val="HG丸ｺﾞｼｯｸM-PRO"/>
            <family val="3"/>
            <charset val="128"/>
          </rPr>
          <t>（例）仕入価格の交渉はまったくしていない</t>
        </r>
      </text>
    </comment>
    <comment ref="AF14" authorId="0" shapeId="0" xr:uid="{E07A61CB-416C-47E0-9844-28194AAEC7D5}">
      <text>
        <r>
          <rPr>
            <b/>
            <sz val="16"/>
            <color indexed="81"/>
            <rFont val="HG丸ｺﾞｼｯｸM-PRO"/>
            <family val="3"/>
            <charset val="128"/>
          </rPr>
          <t>（例）ネット販売のサイトが台頭している</t>
        </r>
      </text>
    </comment>
    <comment ref="U18" authorId="0" shapeId="0" xr:uid="{379127D9-BC30-403C-8530-9411D638E47C}">
      <text>
        <r>
          <rPr>
            <b/>
            <sz val="16"/>
            <color indexed="81"/>
            <rFont val="HG丸ｺﾞｼｯｸM-PRO"/>
            <family val="3"/>
            <charset val="128"/>
          </rPr>
          <t>（例）接客についてクレームを受けたことがある</t>
        </r>
      </text>
    </comment>
    <comment ref="Z18" authorId="0" shapeId="0" xr:uid="{065ED830-B4D5-4ADC-9A3B-9839DB9FAD6A}">
      <text>
        <r>
          <rPr>
            <b/>
            <sz val="16"/>
            <color indexed="81"/>
            <rFont val="HG丸ｺﾞｼｯｸM-PRO"/>
            <family val="3"/>
            <charset val="128"/>
          </rPr>
          <t>（例）アフターサービスを担当する人材がいない</t>
        </r>
      </text>
    </comment>
    <comment ref="AF18" authorId="0" shapeId="0" xr:uid="{5F0B463D-7DBC-4F14-B7DF-FEE527DC3D4C}">
      <text>
        <r>
          <rPr>
            <b/>
            <sz val="16"/>
            <color indexed="81"/>
            <rFont val="HG丸ｺﾞｼｯｸM-PRO"/>
            <family val="3"/>
            <charset val="128"/>
          </rPr>
          <t>（例）値下げをしないと買ってくれない</t>
        </r>
      </text>
    </comment>
    <comment ref="U22" authorId="0" shapeId="0" xr:uid="{34DA89BC-E06E-4086-B41B-788A90E830A4}">
      <text>
        <r>
          <rPr>
            <b/>
            <sz val="16"/>
            <color indexed="81"/>
            <rFont val="HG丸ｺﾞｼｯｸM-PRO"/>
            <family val="3"/>
            <charset val="128"/>
          </rPr>
          <t>（例）一緒に商品のアイデアを考えてくれる
　　　従業員がいない</t>
        </r>
      </text>
    </comment>
    <comment ref="Z22" authorId="0" shapeId="0" xr:uid="{A2434EF7-A4CB-4C67-AFCD-0F21A3B49D78}">
      <text>
        <r>
          <rPr>
            <b/>
            <sz val="16"/>
            <color indexed="81"/>
            <rFont val="HG丸ｺﾞｼｯｸM-PRO"/>
            <family val="3"/>
            <charset val="128"/>
          </rPr>
          <t>（例）店舗が老朽化して、顧客が入りづらい雰囲気に
　　　なっている</t>
        </r>
      </text>
    </comment>
    <comment ref="AF22" authorId="0" shapeId="0" xr:uid="{CEFCB3C7-4EF0-43CB-9AE8-BCA8C05D24EF}">
      <text>
        <r>
          <rPr>
            <b/>
            <sz val="16"/>
            <color indexed="81"/>
            <rFont val="HG丸ｺﾞｼｯｸM-PRO"/>
            <family val="3"/>
            <charset val="128"/>
          </rPr>
          <t>（例）近隣にショッピングセンターが進出してきた</t>
        </r>
      </text>
    </comment>
    <comment ref="U29" authorId="0" shapeId="0" xr:uid="{B32D09DB-E854-437C-B92E-084F949F408A}">
      <text>
        <r>
          <rPr>
            <b/>
            <sz val="16"/>
            <color indexed="81"/>
            <rFont val="HG丸ｺﾞｼｯｸM-PRO"/>
            <family val="3"/>
            <charset val="128"/>
          </rPr>
          <t>（例）もっと宣伝してお客さんを集めたいが、
　　　資金が足りない</t>
        </r>
      </text>
    </comment>
    <comment ref="Z29" authorId="0" shapeId="0" xr:uid="{45C8D805-D50D-4978-82A8-896471142076}">
      <text>
        <r>
          <rPr>
            <b/>
            <sz val="16"/>
            <color indexed="81"/>
            <rFont val="HG丸ｺﾞｼｯｸM-PRO"/>
            <family val="3"/>
            <charset val="128"/>
          </rPr>
          <t>（例）顧客の評判が気になるが、
　　　それを確認する仕組みがない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7D28EDE8-1B3E-4EDE-B132-0B892EB45E3B}">
      <text>
        <r>
          <rPr>
            <b/>
            <sz val="16"/>
            <color indexed="81"/>
            <rFont val="HG丸ｺﾞｼｯｸM-PRO"/>
            <family val="3"/>
            <charset val="128"/>
          </rPr>
          <t>（例）サービスの内容は長年変えていないが、
　　　お客さんに飽きられてないだろうか</t>
        </r>
      </text>
    </comment>
    <comment ref="Z14" authorId="0" shapeId="0" xr:uid="{65D61F39-7EB6-4270-8602-5B4CEB16E5DD}">
      <text>
        <r>
          <rPr>
            <b/>
            <sz val="16"/>
            <color indexed="81"/>
            <rFont val="HG丸ｺﾞｼｯｸM-PRO"/>
            <family val="3"/>
            <charset val="128"/>
          </rPr>
          <t>（例）どの層をターゲットに
　　　広告すればよいか分からない</t>
        </r>
      </text>
    </comment>
    <comment ref="AF14" authorId="0" shapeId="0" xr:uid="{3C54F5D1-6836-4A3E-91F1-B1CA78F19BD5}">
      <text>
        <r>
          <rPr>
            <b/>
            <sz val="16"/>
            <color indexed="81"/>
            <rFont val="HG丸ｺﾞｼｯｸM-PRO"/>
            <family val="3"/>
            <charset val="128"/>
          </rPr>
          <t>（例）生活必需品以外の個人消費は年々減少している</t>
        </r>
      </text>
    </comment>
    <comment ref="U18" authorId="0" shapeId="0" xr:uid="{F44D225F-F0CB-4458-AB52-519B3B180837}">
      <text>
        <r>
          <rPr>
            <b/>
            <sz val="16"/>
            <color indexed="81"/>
            <rFont val="HG丸ｺﾞｼｯｸM-PRO"/>
            <family val="3"/>
            <charset val="128"/>
          </rPr>
          <t>（例）従業員の接客がなかなか改善しない</t>
        </r>
      </text>
    </comment>
    <comment ref="Z18" authorId="0" shapeId="0" xr:uid="{CCC7F599-AF81-4EB3-B836-ED432E4588BA}">
      <text>
        <r>
          <rPr>
            <b/>
            <sz val="16"/>
            <color indexed="81"/>
            <rFont val="HG丸ｺﾞｼｯｸM-PRO"/>
            <family val="3"/>
            <charset val="128"/>
          </rPr>
          <t>（例）顧客の口コミを初めて見たが、
　　　いくつか厳しい意見もある</t>
        </r>
      </text>
    </comment>
    <comment ref="AF18" authorId="0" shapeId="0" xr:uid="{8A3B82C9-3053-4BC8-94A2-CD971C1F0CFF}">
      <text>
        <r>
          <rPr>
            <b/>
            <sz val="16"/>
            <color indexed="81"/>
            <rFont val="HG丸ｺﾞｼｯｸM-PRO"/>
            <family val="3"/>
            <charset val="128"/>
          </rPr>
          <t>（例）割引をしないと顧客が来てくれない</t>
        </r>
      </text>
    </comment>
    <comment ref="U22" authorId="0" shapeId="0" xr:uid="{A8779660-C425-4480-BAB7-B9710B79B425}">
      <text>
        <r>
          <rPr>
            <b/>
            <sz val="16"/>
            <color indexed="81"/>
            <rFont val="HG丸ｺﾞｼｯｸM-PRO"/>
            <family val="3"/>
            <charset val="128"/>
          </rPr>
          <t>（例）自分だけのアイデアでは限界を感じている</t>
        </r>
      </text>
    </comment>
    <comment ref="Z22" authorId="0" shapeId="0" xr:uid="{2D4623CC-5A8E-41B7-AEF0-DEBBD4CE4CB5}">
      <text>
        <r>
          <rPr>
            <b/>
            <sz val="16"/>
            <color indexed="81"/>
            <rFont val="HG丸ｺﾞｼｯｸM-PRO"/>
            <family val="3"/>
            <charset val="128"/>
          </rPr>
          <t>（例）店舗とサービス内容のイメージが離れているが、
　　　どうやって改善しよう</t>
        </r>
      </text>
    </comment>
    <comment ref="AF22" authorId="0" shapeId="0" xr:uid="{F2D6EF47-4B19-47AA-8B3E-A2C152D6EAC6}">
      <text>
        <r>
          <rPr>
            <b/>
            <sz val="16"/>
            <color indexed="81"/>
            <rFont val="HG丸ｺﾞｼｯｸM-PRO"/>
            <family val="3"/>
            <charset val="128"/>
          </rPr>
          <t>（例）当社より安価なサービスを提供するチェーン店が増加している</t>
        </r>
      </text>
    </comment>
    <comment ref="U29" authorId="0" shapeId="0" xr:uid="{0764AAC5-24CB-45CB-A7C0-22D38C8434E1}">
      <text>
        <r>
          <rPr>
            <b/>
            <sz val="16"/>
            <color indexed="81"/>
            <rFont val="HG丸ｺﾞｼｯｸM-PRO"/>
            <family val="3"/>
            <charset val="128"/>
          </rPr>
          <t>（例）従業員の待遇を良くしてモチベーションを
　　　アップさせたいが、資金が足りない</t>
        </r>
      </text>
    </comment>
    <comment ref="Z29" authorId="0" shapeId="0" xr:uid="{697860BB-4877-4B45-A6C0-D6DC96684840}">
      <text>
        <r>
          <rPr>
            <b/>
            <sz val="16"/>
            <color indexed="81"/>
            <rFont val="HG丸ｺﾞｼｯｸM-PRO"/>
            <family val="3"/>
            <charset val="128"/>
          </rPr>
          <t>（例）うちのメインターゲットは
　　　どんな層なのか分からない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8B341783-FC44-49A8-957C-9C1A84C0FA3C}">
      <text>
        <r>
          <rPr>
            <b/>
            <sz val="16"/>
            <color indexed="81"/>
            <rFont val="HG丸ｺﾞｼｯｸM-PRO"/>
            <family val="3"/>
            <charset val="128"/>
          </rPr>
          <t>（例）新メニューを検討したいが、
　　　自分だけではアイデアに限界がある</t>
        </r>
      </text>
    </comment>
    <comment ref="Z14" authorId="0" shapeId="0" xr:uid="{DC6F3BA6-DB68-4F95-9BD8-A3D8C910824A}">
      <text>
        <r>
          <rPr>
            <b/>
            <sz val="16"/>
            <color indexed="81"/>
            <rFont val="HG丸ｺﾞｼｯｸM-PRO"/>
            <family val="3"/>
            <charset val="128"/>
          </rPr>
          <t>（例）食材の仕入先は長年変えていない</t>
        </r>
      </text>
    </comment>
    <comment ref="AF14" authorId="0" shapeId="0" xr:uid="{03DDB35F-383F-4EAC-AB9B-4010CAF6284C}">
      <text>
        <r>
          <rPr>
            <b/>
            <sz val="16"/>
            <color indexed="81"/>
            <rFont val="HG丸ｺﾞｼｯｸM-PRO"/>
            <family val="3"/>
            <charset val="128"/>
          </rPr>
          <t>（例）大手外食産業は、オートメーション化を進めている</t>
        </r>
      </text>
    </comment>
    <comment ref="U18" authorId="0" shapeId="0" xr:uid="{B5524E2A-D959-40E9-9847-1EE9686DE8C4}">
      <text>
        <r>
          <rPr>
            <b/>
            <sz val="16"/>
            <color indexed="81"/>
            <rFont val="HG丸ｺﾞｼｯｸM-PRO"/>
            <family val="3"/>
            <charset val="128"/>
          </rPr>
          <t>（例）調理場の整理整頓、清掃まで手が回らない</t>
        </r>
      </text>
    </comment>
    <comment ref="Z18" authorId="0" shapeId="0" xr:uid="{FB272C33-E91C-4A33-93C7-7C42B76417D0}">
      <text>
        <r>
          <rPr>
            <b/>
            <sz val="16"/>
            <color indexed="81"/>
            <rFont val="HG丸ｺﾞｼｯｸM-PRO"/>
            <family val="3"/>
            <charset val="128"/>
          </rPr>
          <t>（例）口コミを初めて確認したが、
　　　改善要望が結構書かれている</t>
        </r>
      </text>
    </comment>
    <comment ref="AF18" authorId="0" shapeId="0" xr:uid="{3C28AD38-D562-4E0D-B5FF-3B9545ABB1A6}">
      <text>
        <r>
          <rPr>
            <b/>
            <sz val="16"/>
            <color indexed="81"/>
            <rFont val="HG丸ｺﾞｼｯｸM-PRO"/>
            <family val="3"/>
            <charset val="128"/>
          </rPr>
          <t>（例）常連客が高齢化しており来店頻度が減少している</t>
        </r>
      </text>
    </comment>
    <comment ref="U22" authorId="0" shapeId="0" xr:uid="{55EBD418-893D-40E3-8139-FDD2F7CA9570}">
      <text>
        <r>
          <rPr>
            <b/>
            <sz val="16"/>
            <color indexed="81"/>
            <rFont val="HG丸ｺﾞｼｯｸM-PRO"/>
            <family val="3"/>
            <charset val="128"/>
          </rPr>
          <t>（例）ベテランスタッフに抜けられると
　　　運営に支障がでる</t>
        </r>
      </text>
    </comment>
    <comment ref="Z22" authorId="0" shapeId="0" xr:uid="{91B2229D-2661-4736-95E6-1FF950BA948E}">
      <text>
        <r>
          <rPr>
            <b/>
            <sz val="16"/>
            <color indexed="81"/>
            <rFont val="HG丸ｺﾞｼｯｸM-PRO"/>
            <family val="3"/>
            <charset val="128"/>
          </rPr>
          <t>（例）厨房機器が古くなってきた</t>
        </r>
      </text>
    </comment>
    <comment ref="AF22" authorId="0" shapeId="0" xr:uid="{3D4FA065-49A6-41B0-B708-B1BD85C7C727}">
      <text>
        <r>
          <rPr>
            <b/>
            <sz val="16"/>
            <color indexed="81"/>
            <rFont val="HG丸ｺﾞｼｯｸM-PRO"/>
            <family val="3"/>
            <charset val="128"/>
          </rPr>
          <t>（例）最近、冷凍食品やコンビニ商品のレベルが上がっている</t>
        </r>
      </text>
    </comment>
    <comment ref="U29" authorId="0" shapeId="0" xr:uid="{C3CEC71D-4F68-4CBF-9236-3DD3CADC16DF}">
      <text>
        <r>
          <rPr>
            <b/>
            <sz val="16"/>
            <color indexed="81"/>
            <rFont val="HG丸ｺﾞｼｯｸM-PRO"/>
            <family val="3"/>
            <charset val="128"/>
          </rPr>
          <t>（例）もっと宣伝してお客さんを集めたいが、
　　　資金が足りない</t>
        </r>
      </text>
    </comment>
    <comment ref="Z29" authorId="0" shapeId="0" xr:uid="{060B55FF-0041-48C6-82D1-4E3FAF6861F8}">
      <text>
        <r>
          <rPr>
            <b/>
            <sz val="16"/>
            <color indexed="81"/>
            <rFont val="HG丸ｺﾞｼｯｸM-PRO"/>
            <family val="3"/>
            <charset val="128"/>
          </rPr>
          <t>（例）食材のロスが増えてきたが、原因が分からない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3E541336-C67F-42ED-8FDE-5413F387ABFC}">
      <text>
        <r>
          <rPr>
            <b/>
            <sz val="16"/>
            <color indexed="81"/>
            <rFont val="HG丸ｺﾞｼｯｸM-PRO"/>
            <family val="3"/>
            <charset val="128"/>
          </rPr>
          <t>（例）外注先は、単価を上げないと確保できない</t>
        </r>
      </text>
    </comment>
    <comment ref="Z14" authorId="0" shapeId="0" xr:uid="{F2CD66C5-4F39-4CAE-B491-53593B257828}">
      <text>
        <r>
          <rPr>
            <b/>
            <sz val="16"/>
            <color indexed="81"/>
            <rFont val="HG丸ｺﾞｼｯｸM-PRO"/>
            <family val="3"/>
            <charset val="128"/>
          </rPr>
          <t>（例）人手不足で工事を回せるか心配で、
　　　受注を抑制している</t>
        </r>
      </text>
    </comment>
    <comment ref="AF14" authorId="0" shapeId="0" xr:uid="{F5912B3A-A796-469D-8CC7-AE17820EECFB}">
      <text>
        <r>
          <rPr>
            <b/>
            <sz val="16"/>
            <color indexed="81"/>
            <rFont val="HG丸ｺﾞｼｯｸM-PRO"/>
            <family val="3"/>
            <charset val="128"/>
          </rPr>
          <t>（例）地域の人口が減少しており、新築物件の受注が減ってきた</t>
        </r>
      </text>
    </comment>
    <comment ref="U18" authorId="0" shapeId="0" xr:uid="{4DDF5485-4B7D-4A7C-848B-D666FE3CF8A5}">
      <text>
        <r>
          <rPr>
            <b/>
            <sz val="16"/>
            <color indexed="81"/>
            <rFont val="HG丸ｺﾞｼｯｸM-PRO"/>
            <family val="3"/>
            <charset val="128"/>
          </rPr>
          <t>（例）工期が予定を過ぎることがよくあるが、
　　　どこに問題点があるのだろうか</t>
        </r>
      </text>
    </comment>
    <comment ref="Z18" authorId="0" shapeId="0" xr:uid="{77E9ED3B-C628-4024-8322-FF9ED2DFEED6}">
      <text>
        <r>
          <rPr>
            <b/>
            <sz val="16"/>
            <color indexed="81"/>
            <rFont val="HG丸ｺﾞｼｯｸM-PRO"/>
            <family val="3"/>
            <charset val="128"/>
          </rPr>
          <t>（例）付き合いが古い取引先からの依頼は、
　　　無理してでも受けている</t>
        </r>
      </text>
    </comment>
    <comment ref="AF18" authorId="0" shapeId="0" xr:uid="{06AD7AF8-228F-4AC4-8F39-2237D10595E1}">
      <text>
        <r>
          <rPr>
            <b/>
            <sz val="16"/>
            <color indexed="81"/>
            <rFont val="HG丸ｺﾞｼｯｸM-PRO"/>
            <family val="3"/>
            <charset val="128"/>
          </rPr>
          <t>（例）外注の単価が上昇していて、資金繰りが大変だ</t>
        </r>
      </text>
    </comment>
    <comment ref="U22" authorId="0" shapeId="0" xr:uid="{DD97073C-AD01-4AAF-AE72-45DBC58B9190}">
      <text>
        <r>
          <rPr>
            <b/>
            <sz val="16"/>
            <color indexed="81"/>
            <rFont val="HG丸ｺﾞｼｯｸM-PRO"/>
            <family val="3"/>
            <charset val="128"/>
          </rPr>
          <t>（例）職人が中々育たないが、
　　　体制に問題があるのだろうか</t>
        </r>
      </text>
    </comment>
    <comment ref="Z22" authorId="0" shapeId="0" xr:uid="{E21BDCD8-EDD4-401B-B3F4-A1237B2A7CE0}">
      <text>
        <r>
          <rPr>
            <b/>
            <sz val="16"/>
            <color indexed="81"/>
            <rFont val="HG丸ｺﾞｼｯｸM-PRO"/>
            <family val="3"/>
            <charset val="128"/>
          </rPr>
          <t>（例）工事に必要な設備が老朽化している</t>
        </r>
      </text>
    </comment>
    <comment ref="AF22" authorId="0" shapeId="0" xr:uid="{EAD3342B-29D7-4FB8-86B0-686C7E2B8806}">
      <text>
        <r>
          <rPr>
            <b/>
            <sz val="16"/>
            <color indexed="81"/>
            <rFont val="HG丸ｺﾞｼｯｸM-PRO"/>
            <family val="3"/>
            <charset val="128"/>
          </rPr>
          <t xml:space="preserve">
（例）最近、入札の参加者が増加している</t>
        </r>
      </text>
    </comment>
    <comment ref="U29" authorId="0" shapeId="0" xr:uid="{19D523F2-719E-4DE0-839F-8D0CAD2619E6}">
      <text>
        <r>
          <rPr>
            <b/>
            <sz val="16"/>
            <color indexed="81"/>
            <rFont val="HG丸ｺﾞｼｯｸM-PRO"/>
            <family val="3"/>
            <charset val="128"/>
          </rPr>
          <t>（例）現場を掛け持ちすると、先に出ていく資金が多く
　　　なるのが心配で、受注を抑制している</t>
        </r>
      </text>
    </comment>
    <comment ref="Z29" authorId="0" shapeId="0" xr:uid="{C64449F0-E1BE-48EA-ABBC-DD93A0D3F662}">
      <text>
        <r>
          <rPr>
            <b/>
            <sz val="16"/>
            <color indexed="81"/>
            <rFont val="HG丸ｺﾞｼｯｸM-PRO"/>
            <family val="3"/>
            <charset val="128"/>
          </rPr>
          <t>（例）顧客リストをデータ化していないので、
　　　効率的な営業ができていなかった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0D049232-A8D1-4518-A42D-A47447B6238E}">
      <text>
        <r>
          <rPr>
            <b/>
            <sz val="16"/>
            <color indexed="81"/>
            <rFont val="HG丸ｺﾞｼｯｸM-PRO"/>
            <family val="3"/>
            <charset val="128"/>
          </rPr>
          <t>（例）どの層をターゲットにしたプランを
　　　考えればいいか分からない</t>
        </r>
      </text>
    </comment>
    <comment ref="Z14" authorId="0" shapeId="0" xr:uid="{EC24D192-4D2E-478E-81FB-ECE60D99D6A4}">
      <text>
        <r>
          <rPr>
            <b/>
            <sz val="16"/>
            <color indexed="81"/>
            <rFont val="HG丸ｺﾞｼｯｸM-PRO"/>
            <family val="3"/>
            <charset val="128"/>
          </rPr>
          <t>（例）自社サイトから直接予約するお客さんが少ない</t>
        </r>
      </text>
    </comment>
    <comment ref="AF14" authorId="0" shapeId="0" xr:uid="{7AC72BB1-7A34-4593-A8DE-9B37670E6D9B}">
      <text>
        <r>
          <rPr>
            <b/>
            <sz val="16"/>
            <color indexed="81"/>
            <rFont val="HG丸ｺﾞｼｯｸM-PRO"/>
            <family val="3"/>
            <charset val="128"/>
          </rPr>
          <t>（例）訪日外国人が減少している</t>
        </r>
      </text>
    </comment>
    <comment ref="U18" authorId="0" shapeId="0" xr:uid="{2905BC66-6613-4249-9AF1-3A0E1792A509}">
      <text>
        <r>
          <rPr>
            <b/>
            <sz val="16"/>
            <color indexed="81"/>
            <rFont val="HG丸ｺﾞｼｯｸM-PRO"/>
            <family val="3"/>
            <charset val="128"/>
          </rPr>
          <t>（例）接客についてクレームを受けたが、
　　　なかなか改善しない</t>
        </r>
      </text>
    </comment>
    <comment ref="Z18" authorId="0" shapeId="0" xr:uid="{F0448FB8-7158-442E-B84A-9069361D7E9F}">
      <text>
        <r>
          <rPr>
            <b/>
            <sz val="16"/>
            <color indexed="81"/>
            <rFont val="HG丸ｺﾞｼｯｸM-PRO"/>
            <family val="3"/>
            <charset val="128"/>
          </rPr>
          <t>（例）リピーターが減ってきたが、
　　　何か理由があるのだろうか</t>
        </r>
      </text>
    </comment>
    <comment ref="AF18" authorId="0" shapeId="0" xr:uid="{1F3FF961-1D05-4210-8CBC-A37F32A401E3}">
      <text>
        <r>
          <rPr>
            <b/>
            <sz val="16"/>
            <color indexed="81"/>
            <rFont val="HG丸ｺﾞｼｯｸM-PRO"/>
            <family val="3"/>
            <charset val="128"/>
          </rPr>
          <t>（例）どこも値下げが激しいので、ある程度安くしないと予約してくれない</t>
        </r>
      </text>
    </comment>
    <comment ref="U22" authorId="0" shapeId="0" xr:uid="{E4138C15-3BD7-403E-92D0-8DCCB9D5FB0F}">
      <text>
        <r>
          <rPr>
            <b/>
            <sz val="16"/>
            <color indexed="81"/>
            <rFont val="HG丸ｺﾞｼｯｸM-PRO"/>
            <family val="3"/>
            <charset val="128"/>
          </rPr>
          <t>（例）従業員の定着率が低下している</t>
        </r>
      </text>
    </comment>
    <comment ref="Z22" authorId="0" shapeId="0" xr:uid="{58D5017D-0A8F-4CEF-BC0C-DCCEB4636988}">
      <text>
        <r>
          <rPr>
            <b/>
            <sz val="16"/>
            <color indexed="81"/>
            <rFont val="HG丸ｺﾞｼｯｸM-PRO"/>
            <family val="3"/>
            <charset val="128"/>
          </rPr>
          <t>（例）施設が老朽化したため、見栄えが悪くなっている</t>
        </r>
      </text>
    </comment>
    <comment ref="AF22" authorId="0" shapeId="0" xr:uid="{F0ED1D47-387F-40AE-8678-8727A2E096BE}">
      <text>
        <r>
          <rPr>
            <b/>
            <sz val="16"/>
            <color indexed="81"/>
            <rFont val="HG丸ｺﾞｼｯｸM-PRO"/>
            <family val="3"/>
            <charset val="128"/>
          </rPr>
          <t>（例）日帰りレジャー施設のサービスの質が上がっており、宿泊客が減少している</t>
        </r>
      </text>
    </comment>
    <comment ref="U29" authorId="0" shapeId="0" xr:uid="{D7490110-16D7-4218-A61B-BA31F1107DA9}">
      <text>
        <r>
          <rPr>
            <b/>
            <sz val="16"/>
            <color indexed="81"/>
            <rFont val="HG丸ｺﾞｼｯｸM-PRO"/>
            <family val="3"/>
            <charset val="128"/>
          </rPr>
          <t>（例）古くなった設備を更新したいが資金が足りない</t>
        </r>
      </text>
    </comment>
    <comment ref="Z29" authorId="0" shapeId="0" xr:uid="{CE4C0974-B188-46A9-A1DE-DE60D335690D}">
      <text>
        <r>
          <rPr>
            <b/>
            <sz val="16"/>
            <color indexed="81"/>
            <rFont val="HG丸ｺﾞｼｯｸM-PRO"/>
            <family val="3"/>
            <charset val="128"/>
          </rPr>
          <t>（例）宿泊客のデータをどのように販促に
　　　活かしていいか分からない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FC36CC2A-1EF6-4E10-A36D-A36A418DE6CA}">
      <text>
        <r>
          <rPr>
            <b/>
            <sz val="16"/>
            <color indexed="81"/>
            <rFont val="HG丸ｺﾞｼｯｸM-PRO"/>
            <family val="3"/>
            <charset val="128"/>
          </rPr>
          <t>（例）新たなサービスを開始したいが、
　　　必要な準備について相談できる人材がいない</t>
        </r>
      </text>
    </comment>
    <comment ref="Z14" authorId="0" shapeId="0" xr:uid="{32ED784F-FDC5-4CE8-829E-54849BB40913}">
      <text>
        <r>
          <rPr>
            <b/>
            <sz val="16"/>
            <color indexed="81"/>
            <rFont val="HG丸ｺﾞｼｯｸM-PRO"/>
            <family val="3"/>
            <charset val="128"/>
          </rPr>
          <t>（例）同業者と差別化を図るための方向性が明確に
　　　なっていない</t>
        </r>
      </text>
    </comment>
    <comment ref="AF14" authorId="0" shapeId="0" xr:uid="{6B0DF179-C479-4DB0-88D6-D069FBF1EBF0}">
      <text>
        <r>
          <rPr>
            <b/>
            <sz val="16"/>
            <color indexed="81"/>
            <rFont val="HG丸ｺﾞｼｯｸM-PRO"/>
            <family val="3"/>
            <charset val="128"/>
          </rPr>
          <t>（例）今後、介護報酬が低く改定される可能性がある</t>
        </r>
      </text>
    </comment>
    <comment ref="U18" authorId="0" shapeId="0" xr:uid="{5FAB512A-6625-4259-8AEA-146ED9DBC36E}">
      <text>
        <r>
          <rPr>
            <b/>
            <sz val="16"/>
            <color indexed="81"/>
            <rFont val="HG丸ｺﾞｼｯｸM-PRO"/>
            <family val="3"/>
            <charset val="128"/>
          </rPr>
          <t>（例）突発的なトラブルに対応できる従業員が少なく、
　　　サービスの質を維持できるか不安がある</t>
        </r>
      </text>
    </comment>
    <comment ref="Z18" authorId="0" shapeId="0" xr:uid="{904BA6AD-B932-48CE-85C1-EE3F6B9F1D3D}">
      <text>
        <r>
          <rPr>
            <b/>
            <sz val="16"/>
            <color indexed="81"/>
            <rFont val="HG丸ｺﾞｼｯｸM-PRO"/>
            <family val="3"/>
            <charset val="128"/>
          </rPr>
          <t>（例）同業者や地域の動向を把握していないため、
　　　利用者が増加しない理由を分析できない</t>
        </r>
      </text>
    </comment>
    <comment ref="AF18" authorId="0" shapeId="0" xr:uid="{7316E494-EDD7-4925-9DDB-E8927EDD32CB}">
      <text>
        <r>
          <rPr>
            <b/>
            <sz val="16"/>
            <color indexed="81"/>
            <rFont val="HG丸ｺﾞｼｯｸM-PRO"/>
            <family val="3"/>
            <charset val="128"/>
          </rPr>
          <t>（例）利用者は質の高いサービスを求めるようになり、事業者を選定する目が厳しくなっている</t>
        </r>
      </text>
    </comment>
    <comment ref="U22" authorId="0" shapeId="0" xr:uid="{7F26F5D4-CA5A-4741-BA82-50E60FF05250}">
      <text>
        <r>
          <rPr>
            <b/>
            <sz val="16"/>
            <color indexed="81"/>
            <rFont val="HG丸ｺﾞｼｯｸM-PRO"/>
            <family val="3"/>
            <charset val="128"/>
          </rPr>
          <t>（例）自社の強みについて周知活動を強化したいが、
　　　対応できる人材がいない</t>
        </r>
      </text>
    </comment>
    <comment ref="Z22" authorId="0" shapeId="0" xr:uid="{D8210BDF-7C5F-4AF8-B5AB-69E383911836}">
      <text>
        <r>
          <rPr>
            <b/>
            <sz val="16"/>
            <color indexed="81"/>
            <rFont val="HG丸ｺﾞｼｯｸM-PRO"/>
            <family val="3"/>
            <charset val="128"/>
          </rPr>
          <t>（例）地域事情の特性に応じたサービスを
　　　展開できていない</t>
        </r>
      </text>
    </comment>
    <comment ref="AF22" authorId="0" shapeId="0" xr:uid="{B9C21C75-960D-4F9C-BE9A-351796079D4B}">
      <text>
        <r>
          <rPr>
            <b/>
            <sz val="16"/>
            <color indexed="81"/>
            <rFont val="HG丸ｺﾞｼｯｸM-PRO"/>
            <family val="3"/>
            <charset val="128"/>
          </rPr>
          <t>（例）同業者が隣のビルに進出してきたため、今後、新規の患者が減らないか心配だ</t>
        </r>
      </text>
    </comment>
    <comment ref="U29" authorId="0" shapeId="0" xr:uid="{BB302172-7BC5-462E-AC2A-FEEDC6388612}">
      <text>
        <r>
          <rPr>
            <b/>
            <sz val="16"/>
            <color indexed="81"/>
            <rFont val="HG丸ｺﾞｼｯｸM-PRO"/>
            <family val="3"/>
            <charset val="128"/>
          </rPr>
          <t>（例）施設が老朽化しているが、対応するための資金
　　　が不足している</t>
        </r>
      </text>
    </comment>
    <comment ref="Z29" authorId="0" shapeId="0" xr:uid="{0E3B328B-3551-4BB8-9627-19A8B9EFF422}">
      <text>
        <r>
          <rPr>
            <b/>
            <sz val="16"/>
            <color indexed="81"/>
            <rFont val="HG丸ｺﾞｼｯｸM-PRO"/>
            <family val="3"/>
            <charset val="128"/>
          </rPr>
          <t>（例）患者の顧客情報管理システム等が
　　　整備されていない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Master</author>
  </authors>
  <commentList>
    <comment ref="U14" authorId="0" shapeId="0" xr:uid="{399BA754-3B8E-4D8B-9244-2EF2FF9C4BD8}">
      <text>
        <r>
          <rPr>
            <b/>
            <sz val="16"/>
            <color indexed="81"/>
            <rFont val="HG丸ｺﾞｼｯｸM-PRO"/>
            <family val="3"/>
            <charset val="128"/>
          </rPr>
          <t>（例）販路拡大を図りたいが、
　　　検討に必要な情報が不足している</t>
        </r>
      </text>
    </comment>
    <comment ref="Z14" authorId="0" shapeId="0" xr:uid="{DFF7F01E-828B-4133-963D-ECC91DFF0972}">
      <text>
        <r>
          <rPr>
            <b/>
            <sz val="16"/>
            <color indexed="81"/>
            <rFont val="HG丸ｺﾞｼｯｸM-PRO"/>
            <family val="3"/>
            <charset val="128"/>
          </rPr>
          <t>（例）新規取引先の開拓を任せることができる
　　　人材がいない</t>
        </r>
      </text>
    </comment>
    <comment ref="AF14" authorId="0" shapeId="0" xr:uid="{F32F57A9-E900-4B35-9D54-C77CFFFD08BD}">
      <text>
        <r>
          <rPr>
            <b/>
            <sz val="16"/>
            <color indexed="81"/>
            <rFont val="HG丸ｺﾞｼｯｸM-PRO"/>
            <family val="3"/>
            <charset val="128"/>
          </rPr>
          <t>（例）最近、燃料代の相場が値上がりしている</t>
        </r>
      </text>
    </comment>
    <comment ref="U18" authorId="0" shapeId="0" xr:uid="{125B3671-2FBA-4EF2-8AB5-E15F546D7C6C}">
      <text>
        <r>
          <rPr>
            <b/>
            <sz val="16"/>
            <color indexed="81"/>
            <rFont val="HG丸ｺﾞｼｯｸM-PRO"/>
            <family val="3"/>
            <charset val="128"/>
          </rPr>
          <t>（例）特殊な積み荷に対応するトラックがなく、
　　　差別化が図れていない</t>
        </r>
      </text>
    </comment>
    <comment ref="Z18" authorId="0" shapeId="0" xr:uid="{995570E0-F511-426F-B90C-6783EEBF92E4}">
      <text>
        <r>
          <rPr>
            <b/>
            <sz val="16"/>
            <color indexed="81"/>
            <rFont val="HG丸ｺﾞｼｯｸM-PRO"/>
            <family val="3"/>
            <charset val="128"/>
          </rPr>
          <t>（例）配車管理システムがないため、効率的な運送が
　　　できているか分からない</t>
        </r>
      </text>
    </comment>
    <comment ref="AF18" authorId="0" shapeId="0" xr:uid="{0D1ADB79-8BAD-495D-B2B3-D41C482A4F54}">
      <text>
        <r>
          <rPr>
            <b/>
            <sz val="16"/>
            <color indexed="81"/>
            <rFont val="HG丸ｺﾞｼｯｸM-PRO"/>
            <family val="3"/>
            <charset val="128"/>
          </rPr>
          <t>（例）ドライバー不足により、庸車単価が上昇している</t>
        </r>
      </text>
    </comment>
    <comment ref="U22" authorId="0" shapeId="0" xr:uid="{D358560B-059E-4F3D-AF4F-503A6DFECCBA}">
      <text>
        <r>
          <rPr>
            <b/>
            <sz val="16"/>
            <color indexed="81"/>
            <rFont val="HG丸ｺﾞｼｯｸM-PRO"/>
            <family val="3"/>
            <charset val="128"/>
          </rPr>
          <t>（例）需要はあるが、ドライバー不足により
　　　受注を諦めることがある</t>
        </r>
      </text>
    </comment>
    <comment ref="Z22" authorId="0" shapeId="0" xr:uid="{90FE0732-707B-4AD5-9977-E7E08E549285}">
      <text>
        <r>
          <rPr>
            <b/>
            <sz val="16"/>
            <color indexed="81"/>
            <rFont val="HG丸ｺﾞｼｯｸM-PRO"/>
            <family val="3"/>
            <charset val="128"/>
          </rPr>
          <t>（例）効率的な配車をするためのシステムがなく、
　　　配送経路に無駄が生じることが多い</t>
        </r>
      </text>
    </comment>
    <comment ref="AF22" authorId="0" shapeId="0" xr:uid="{E8F0E2E9-47CD-49D4-9CBA-42D95E01D097}">
      <text>
        <r>
          <rPr>
            <b/>
            <sz val="16"/>
            <color indexed="81"/>
            <rFont val="HG丸ｺﾞｼｯｸM-PRO"/>
            <family val="3"/>
            <charset val="128"/>
          </rPr>
          <t>（例）大手インターネット小売企業が、自前の物流チェーンを構築する可能性がある</t>
        </r>
      </text>
    </comment>
    <comment ref="U29" authorId="0" shapeId="0" xr:uid="{6E7BC412-F3B6-4984-B3B6-550C031C79F0}">
      <text>
        <r>
          <rPr>
            <b/>
            <sz val="16"/>
            <color indexed="81"/>
            <rFont val="HG丸ｺﾞｼｯｸM-PRO"/>
            <family val="3"/>
            <charset val="128"/>
          </rPr>
          <t>（例）ドライバーを雇用するために、他社より好待遇に
　　　したいが、資金に余裕がない</t>
        </r>
      </text>
    </comment>
    <comment ref="Z29" authorId="0" shapeId="0" xr:uid="{08ABEC7D-DC58-4570-972E-6C5BDE0BD473}">
      <text>
        <r>
          <rPr>
            <b/>
            <sz val="16"/>
            <color indexed="81"/>
            <rFont val="HG丸ｺﾞｼｯｸM-PRO"/>
            <family val="3"/>
            <charset val="128"/>
          </rPr>
          <t>（例）取引先ごとや積み荷にごとの利益を把握していない。</t>
        </r>
      </text>
    </comment>
  </commentList>
</comments>
</file>

<file path=xl/sharedStrings.xml><?xml version="1.0" encoding="utf-8"?>
<sst xmlns="http://schemas.openxmlformats.org/spreadsheetml/2006/main" count="864" uniqueCount="199">
  <si>
    <t>情報</t>
    <rPh sb="0" eb="2">
      <t>ジョウホウ</t>
    </rPh>
    <phoneticPr fontId="1"/>
  </si>
  <si>
    <t>設備・製品</t>
    <rPh sb="0" eb="2">
      <t>セツビ</t>
    </rPh>
    <rPh sb="3" eb="5">
      <t>セイヒン</t>
    </rPh>
    <phoneticPr fontId="1"/>
  </si>
  <si>
    <t>人材・組織</t>
    <phoneticPr fontId="1"/>
  </si>
  <si>
    <t>販売</t>
    <rPh sb="0" eb="2">
      <t>ハンバイ</t>
    </rPh>
    <phoneticPr fontId="1"/>
  </si>
  <si>
    <t>製造</t>
    <rPh sb="0" eb="2">
      <t>セイゾウ</t>
    </rPh>
    <phoneticPr fontId="1"/>
  </si>
  <si>
    <t>仕入</t>
    <rPh sb="0" eb="2">
      <t>シイ</t>
    </rPh>
    <phoneticPr fontId="1"/>
  </si>
  <si>
    <t>質問</t>
    <rPh sb="0" eb="2">
      <t>シツモン</t>
    </rPh>
    <phoneticPr fontId="1"/>
  </si>
  <si>
    <t>経営資源</t>
    <rPh sb="0" eb="2">
      <t>ケイエイ</t>
    </rPh>
    <rPh sb="2" eb="4">
      <t>シゲン</t>
    </rPh>
    <phoneticPr fontId="1"/>
  </si>
  <si>
    <t>Ｑ13～Ｑ16</t>
    <phoneticPr fontId="1"/>
  </si>
  <si>
    <t>資金</t>
    <rPh sb="0" eb="2">
      <t>シキン</t>
    </rPh>
    <phoneticPr fontId="1"/>
  </si>
  <si>
    <t>Ｑ９～Ｑ12</t>
    <phoneticPr fontId="1"/>
  </si>
  <si>
    <t>Ｑ５～Ｑ８</t>
    <phoneticPr fontId="1"/>
  </si>
  <si>
    <t>Ｑ１～Ｑ４</t>
    <phoneticPr fontId="1"/>
  </si>
  <si>
    <t>点数</t>
    <rPh sb="0" eb="2">
      <t>テンスウ</t>
    </rPh>
    <phoneticPr fontId="1"/>
  </si>
  <si>
    <t>見える化２（経営資源）</t>
    <rPh sb="0" eb="1">
      <t>ミ</t>
    </rPh>
    <rPh sb="3" eb="4">
      <t>カ</t>
    </rPh>
    <rPh sb="6" eb="8">
      <t>ケイエイ</t>
    </rPh>
    <rPh sb="8" eb="10">
      <t>シゲン</t>
    </rPh>
    <phoneticPr fontId="1"/>
  </si>
  <si>
    <t>見える化１（事業活動）</t>
    <rPh sb="0" eb="1">
      <t>ミ</t>
    </rPh>
    <rPh sb="3" eb="4">
      <t>カ</t>
    </rPh>
    <rPh sb="6" eb="8">
      <t>ジギョウ</t>
    </rPh>
    <rPh sb="8" eb="10">
      <t>カツドウ</t>
    </rPh>
    <phoneticPr fontId="1"/>
  </si>
  <si>
    <t>チェック</t>
    <phoneticPr fontId="1"/>
  </si>
  <si>
    <t>事業活動</t>
    <rPh sb="0" eb="2">
      <t>ジギョウ</t>
    </rPh>
    <rPh sb="2" eb="4">
      <t>カツドウ</t>
    </rPh>
    <phoneticPr fontId="1"/>
  </si>
  <si>
    <t>Ｑ１</t>
    <phoneticPr fontId="1"/>
  </si>
  <si>
    <t>Ｑ２</t>
    <phoneticPr fontId="1"/>
  </si>
  <si>
    <t>Ｑ３</t>
    <phoneticPr fontId="1"/>
  </si>
  <si>
    <t>Ｑ４</t>
    <phoneticPr fontId="1"/>
  </si>
  <si>
    <t>Ｑ５</t>
    <phoneticPr fontId="1"/>
  </si>
  <si>
    <t>Ｑ６</t>
    <phoneticPr fontId="1"/>
  </si>
  <si>
    <t>Ｑ７</t>
    <phoneticPr fontId="1"/>
  </si>
  <si>
    <t>Ｑ８</t>
    <phoneticPr fontId="1"/>
  </si>
  <si>
    <t>Ｑ９</t>
    <phoneticPr fontId="1"/>
  </si>
  <si>
    <t>Ｑ10</t>
    <phoneticPr fontId="1"/>
  </si>
  <si>
    <t>Ｑ11</t>
    <phoneticPr fontId="1"/>
  </si>
  <si>
    <t>Ｑ12</t>
    <phoneticPr fontId="1"/>
  </si>
  <si>
    <t>Ｑ13</t>
    <phoneticPr fontId="1"/>
  </si>
  <si>
    <t>Ｑ14</t>
    <phoneticPr fontId="1"/>
  </si>
  <si>
    <t>Ｑ15</t>
    <phoneticPr fontId="1"/>
  </si>
  <si>
    <t>Ｑ16</t>
    <phoneticPr fontId="1"/>
  </si>
  <si>
    <t xml:space="preserve">アフター
サービス
</t>
    <phoneticPr fontId="1"/>
  </si>
  <si>
    <t>チェック数</t>
    <rPh sb="4" eb="5">
      <t>スウ</t>
    </rPh>
    <phoneticPr fontId="1"/>
  </si>
  <si>
    <t>Ｑ１、Ｑ５
Ｑ９、Ｑ13</t>
    <phoneticPr fontId="1"/>
  </si>
  <si>
    <t>Ｑ２、Ｑ６
Ｑ10、Ｑ14</t>
    <phoneticPr fontId="1"/>
  </si>
  <si>
    <t>Ｑ３、Ｑ７
Ｑ11、Ｑ15</t>
    <phoneticPr fontId="1"/>
  </si>
  <si>
    <t>Ｑ４、Ｑ８
Ｑ12、Ｑ16</t>
    <phoneticPr fontId="1"/>
  </si>
  <si>
    <t>アフター
サービス</t>
    <phoneticPr fontId="1"/>
  </si>
  <si>
    <t>アフターサービス</t>
    <phoneticPr fontId="1"/>
  </si>
  <si>
    <t>人材・組織</t>
    <rPh sb="0" eb="2">
      <t>ジンザイ</t>
    </rPh>
    <rPh sb="3" eb="5">
      <t>ソシキ</t>
    </rPh>
    <phoneticPr fontId="1"/>
  </si>
  <si>
    <t>経済や社会の動き</t>
    <rPh sb="0" eb="2">
      <t>ケイザイ</t>
    </rPh>
    <rPh sb="3" eb="5">
      <t>シャカイ</t>
    </rPh>
    <rPh sb="6" eb="7">
      <t>ウゴ</t>
    </rPh>
    <phoneticPr fontId="1"/>
  </si>
  <si>
    <t>販売先や仕入先の動向</t>
    <rPh sb="0" eb="3">
      <t>ハンバイサキ</t>
    </rPh>
    <rPh sb="4" eb="6">
      <t>シイ</t>
    </rPh>
    <rPh sb="6" eb="7">
      <t>サキ</t>
    </rPh>
    <rPh sb="8" eb="10">
      <t>ドウコウ</t>
    </rPh>
    <phoneticPr fontId="1"/>
  </si>
  <si>
    <t>競合や新規参入の状況</t>
    <rPh sb="0" eb="2">
      <t>キョウゴウ</t>
    </rPh>
    <rPh sb="3" eb="5">
      <t>シンキ</t>
    </rPh>
    <rPh sb="5" eb="7">
      <t>サンニュウ</t>
    </rPh>
    <rPh sb="8" eb="10">
      <t>ジョウキョウ</t>
    </rPh>
    <phoneticPr fontId="1"/>
  </si>
  <si>
    <t>御社名　　</t>
    <rPh sb="0" eb="2">
      <t>オンシャ</t>
    </rPh>
    <rPh sb="2" eb="3">
      <t>メイ</t>
    </rPh>
    <phoneticPr fontId="1"/>
  </si>
  <si>
    <t>【内部環境】</t>
    <rPh sb="1" eb="3">
      <t>ナイブ</t>
    </rPh>
    <rPh sb="3" eb="5">
      <t>カンキョウ</t>
    </rPh>
    <phoneticPr fontId="1"/>
  </si>
  <si>
    <t>【外部環境】</t>
    <rPh sb="1" eb="3">
      <t>ガイブ</t>
    </rPh>
    <rPh sb="3" eb="5">
      <t>カンキョウ</t>
    </rPh>
    <phoneticPr fontId="1"/>
  </si>
  <si>
    <t>業界動向や同業他社等の良好事例の提供</t>
    <rPh sb="0" eb="2">
      <t>ギョウカイ</t>
    </rPh>
    <rPh sb="2" eb="4">
      <t>ドウコウ</t>
    </rPh>
    <rPh sb="5" eb="7">
      <t>ドウギョウ</t>
    </rPh>
    <rPh sb="7" eb="9">
      <t>タシャ</t>
    </rPh>
    <rPh sb="9" eb="10">
      <t>トウ</t>
    </rPh>
    <rPh sb="11" eb="13">
      <t>リョウコウ</t>
    </rPh>
    <rPh sb="13" eb="15">
      <t>ジレイ</t>
    </rPh>
    <rPh sb="16" eb="18">
      <t>テイキョウ</t>
    </rPh>
    <phoneticPr fontId="1"/>
  </si>
  <si>
    <t>外部専門家や専門機関の紹介・活用</t>
    <rPh sb="0" eb="2">
      <t>ガイブ</t>
    </rPh>
    <rPh sb="2" eb="5">
      <t>センモンカ</t>
    </rPh>
    <rPh sb="6" eb="8">
      <t>センモン</t>
    </rPh>
    <rPh sb="8" eb="10">
      <t>キカン</t>
    </rPh>
    <rPh sb="11" eb="13">
      <t>ショウカイ</t>
    </rPh>
    <rPh sb="14" eb="16">
      <t>カツヨウ</t>
    </rPh>
    <phoneticPr fontId="1"/>
  </si>
  <si>
    <t>経営課題の解決（販路開拓、コスト削減等）</t>
    <rPh sb="0" eb="2">
      <t>ケイエイ</t>
    </rPh>
    <rPh sb="2" eb="4">
      <t>カダイ</t>
    </rPh>
    <rPh sb="5" eb="7">
      <t>カイケツ</t>
    </rPh>
    <rPh sb="8" eb="10">
      <t>ハンロ</t>
    </rPh>
    <rPh sb="10" eb="12">
      <t>カイタク</t>
    </rPh>
    <rPh sb="16" eb="18">
      <t>サクゲン</t>
    </rPh>
    <rPh sb="18" eb="19">
      <t>トウ</t>
    </rPh>
    <phoneticPr fontId="1"/>
  </si>
  <si>
    <t>仕入価格や外注単価は相手の言い値になっている</t>
  </si>
  <si>
    <t>仕入価格や外注単価は相手の言い値になっている</t>
    <phoneticPr fontId="1"/>
  </si>
  <si>
    <t>資金不足で設備投資は抑制している</t>
    <phoneticPr fontId="1"/>
  </si>
  <si>
    <t>原材料の見直しは長い間行っていない</t>
    <phoneticPr fontId="1"/>
  </si>
  <si>
    <t>即金支払、サイトが短い支払条件にも応じている</t>
  </si>
  <si>
    <t>即金支払、サイトが短い支払条件にも応じている</t>
    <phoneticPr fontId="1"/>
  </si>
  <si>
    <t>頼れる営業担当がいない</t>
    <phoneticPr fontId="1"/>
  </si>
  <si>
    <t>定番のロングセラー商品に依存している</t>
    <phoneticPr fontId="1"/>
  </si>
  <si>
    <t>営業のスキルやノウハウは属人的である</t>
    <phoneticPr fontId="1"/>
  </si>
  <si>
    <t>サービスメニューの見直しは長い間行っていない</t>
  </si>
  <si>
    <t>サービスメニューの見直しは長い間行っていない</t>
    <phoneticPr fontId="1"/>
  </si>
  <si>
    <t>商品のアイデアは目新しさに欠ける</t>
  </si>
  <si>
    <t>商品のアイデアは目新しさに欠ける</t>
    <phoneticPr fontId="1"/>
  </si>
  <si>
    <t>資金が不足しており、新商品を企画する余裕がない</t>
  </si>
  <si>
    <t>資金が不足しており、新商品を企画する余裕がない</t>
    <phoneticPr fontId="1"/>
  </si>
  <si>
    <t>仕入価格や支払条件の交渉力がある人材がいない</t>
  </si>
  <si>
    <t>仕入価格や支払条件の交渉力がある人材がいない</t>
    <phoneticPr fontId="1"/>
  </si>
  <si>
    <t>商品ごとの原価率は把握していない</t>
  </si>
  <si>
    <t>商品ごとの原価率は把握していない</t>
    <phoneticPr fontId="1"/>
  </si>
  <si>
    <t>他社と差別化できる商品がない</t>
    <phoneticPr fontId="1"/>
  </si>
  <si>
    <t>企画</t>
    <rPh sb="0" eb="2">
      <t>キカク</t>
    </rPh>
    <phoneticPr fontId="1"/>
  </si>
  <si>
    <t>流通</t>
    <rPh sb="0" eb="2">
      <t>リュウツウ</t>
    </rPh>
    <phoneticPr fontId="1"/>
  </si>
  <si>
    <t>設備・商品</t>
    <rPh sb="0" eb="2">
      <t>セツビ</t>
    </rPh>
    <rPh sb="3" eb="5">
      <t>ショウヒン</t>
    </rPh>
    <phoneticPr fontId="1"/>
  </si>
  <si>
    <t>ターゲット層を意識した売り場づくりができていない</t>
  </si>
  <si>
    <t>販売量を増やすために値引きをすることが多い</t>
  </si>
  <si>
    <t>一定数の不良品がある</t>
  </si>
  <si>
    <t>売れ残っている商品が増えてきた</t>
  </si>
  <si>
    <t>従業員によって接客レベルに差が大きい</t>
  </si>
  <si>
    <t>商品ごとの購入層や単価は把握していない</t>
  </si>
  <si>
    <t>顧客の口コミ等を把握する仕組み（システム）がない</t>
  </si>
  <si>
    <t>顧客データや顧客からの意見を管理していない</t>
  </si>
  <si>
    <t>アイデアは目新しさに欠ける</t>
  </si>
  <si>
    <t>他社と比べて差別化できるサービスがない</t>
  </si>
  <si>
    <t>広告宣伝に力を入れたいが、資金が足りない</t>
  </si>
  <si>
    <t>メインターゲットを明確に答えられない</t>
  </si>
  <si>
    <t>同業他社の動向は把握していない</t>
  </si>
  <si>
    <t>販促</t>
    <rPh sb="0" eb="2">
      <t>ハンソク</t>
    </rPh>
    <phoneticPr fontId="1"/>
  </si>
  <si>
    <t>設備・サービス</t>
    <rPh sb="0" eb="2">
      <t>セツビ</t>
    </rPh>
    <phoneticPr fontId="1"/>
  </si>
  <si>
    <t>設備・
サービス</t>
    <rPh sb="0" eb="2">
      <t>セツビ</t>
    </rPh>
    <phoneticPr fontId="1"/>
  </si>
  <si>
    <t>サービス</t>
    <phoneticPr fontId="1"/>
  </si>
  <si>
    <t>廃棄ロスが多い</t>
  </si>
  <si>
    <t>メニュー等は目新しさに欠ける</t>
  </si>
  <si>
    <t>サイトが短い支払条件にも応じている</t>
  </si>
  <si>
    <t>メニューごとの原価率は把握していない</t>
  </si>
  <si>
    <t>設備投資の借入負担が重い</t>
  </si>
  <si>
    <t>調理工程はマニュアル化されていない</t>
  </si>
  <si>
    <t>メニューごとの販売実績を分析したことはない</t>
  </si>
  <si>
    <t>設備・商品</t>
    <rPh sb="0" eb="2">
      <t>セツビ</t>
    </rPh>
    <phoneticPr fontId="1"/>
  </si>
  <si>
    <t>調理</t>
    <rPh sb="0" eb="2">
      <t>チョウリ</t>
    </rPh>
    <phoneticPr fontId="1"/>
  </si>
  <si>
    <t>資材や外注先の単価の動向について把握していない</t>
  </si>
  <si>
    <t>継続的に受注できる取引先が少ない</t>
  </si>
  <si>
    <t>他社と比べて差別化できる技術がない</t>
  </si>
  <si>
    <t>採算が悪くても受注することを優先してしまう</t>
  </si>
  <si>
    <t>受注</t>
    <rPh sb="0" eb="2">
      <t>ジュチュウ</t>
    </rPh>
    <phoneticPr fontId="1"/>
  </si>
  <si>
    <t>施工</t>
    <rPh sb="0" eb="2">
      <t>セコウ</t>
    </rPh>
    <phoneticPr fontId="1"/>
  </si>
  <si>
    <t>設備・製品</t>
    <rPh sb="0" eb="2">
      <t>セツビ</t>
    </rPh>
    <phoneticPr fontId="1"/>
  </si>
  <si>
    <t>集客のノウハウがある人材がいない</t>
  </si>
  <si>
    <t>設備やサービスで、他社と差別化することが難しい</t>
  </si>
  <si>
    <t>空室を埋めるために、プラン料金を下げることが多い</t>
  </si>
  <si>
    <t>顧客の口コミ等を把握する仕組みがない</t>
  </si>
  <si>
    <t>同業他社の動向は把握していない</t>
    <phoneticPr fontId="1"/>
  </si>
  <si>
    <t>原材料の動向等について、
仕入先から積極的に情報収集をしていない</t>
    <phoneticPr fontId="1"/>
  </si>
  <si>
    <t>製造は従業員任せとなっており、
現場の状況を把握していない</t>
    <phoneticPr fontId="1"/>
  </si>
  <si>
    <t>主要設備が老朽化して生産効率が落ちている</t>
    <phoneticPr fontId="1"/>
  </si>
  <si>
    <t>不良品の発生割合等の製造データは管理していない</t>
    <rPh sb="0" eb="1">
      <t>フ</t>
    </rPh>
    <rPh sb="1" eb="3">
      <t>リョウヒン</t>
    </rPh>
    <rPh sb="4" eb="6">
      <t>ハッセイ</t>
    </rPh>
    <rPh sb="6" eb="8">
      <t>ワリアイ</t>
    </rPh>
    <rPh sb="8" eb="9">
      <t>ナド</t>
    </rPh>
    <rPh sb="10" eb="12">
      <t>セイゾウ</t>
    </rPh>
    <rPh sb="16" eb="18">
      <t>カンリ</t>
    </rPh>
    <phoneticPr fontId="1"/>
  </si>
  <si>
    <t>受注するために、
通常よりも低い価格で見積りを出している</t>
    <phoneticPr fontId="1"/>
  </si>
  <si>
    <t>人手不足でアフターサービスや顧客管理まで
手が回らない</t>
    <phoneticPr fontId="1"/>
  </si>
  <si>
    <t>本来、料金が発生するようなサービスまで
アフターサービスと称して対応せざるを得ない</t>
    <phoneticPr fontId="1"/>
  </si>
  <si>
    <t>アフターサービスの際に得られた情報を
製造の現場まで還元できていない</t>
    <phoneticPr fontId="1"/>
  </si>
  <si>
    <t>今後の経営方針や商品企画を話し合える
人材がいない</t>
    <phoneticPr fontId="1"/>
  </si>
  <si>
    <t>新商品等を企画する際に、
自社のデータや他社のサービスは参考にしない</t>
    <phoneticPr fontId="1"/>
  </si>
  <si>
    <t>品揃えが少なく、
取引先の注文にすぐに対応できないことがある</t>
    <phoneticPr fontId="1"/>
  </si>
  <si>
    <t>仕入・販売ルートの見直しなど、
効率的な流通の確保は考えたことがない</t>
    <phoneticPr fontId="1"/>
  </si>
  <si>
    <t>配送に必要な設備や、
配送を合理化するための設備が不足している</t>
    <phoneticPr fontId="1"/>
  </si>
  <si>
    <t>資金不足のため、流通を効率化するための
設備や拠点を確保できない</t>
    <phoneticPr fontId="1"/>
  </si>
  <si>
    <t>提案営業は行えていない</t>
    <phoneticPr fontId="1"/>
  </si>
  <si>
    <t>手元資金を確保するために、
値引きを実施することが多い</t>
    <phoneticPr fontId="1"/>
  </si>
  <si>
    <t>どの商品が一番利益を生んでいるか、
把握できていない</t>
    <phoneticPr fontId="1"/>
  </si>
  <si>
    <t>今後の経営方針やサービスの企画を話し合える
人材がいない</t>
    <phoneticPr fontId="1"/>
  </si>
  <si>
    <t>資金が不足しており、
新サービス等を企画する余裕がない</t>
    <rPh sb="16" eb="17">
      <t>トウ</t>
    </rPh>
    <phoneticPr fontId="1"/>
  </si>
  <si>
    <t>新サービス等を企画する際に、
自社のデータや他社のサービスは参考にしていない</t>
    <phoneticPr fontId="1"/>
  </si>
  <si>
    <t>サービスに対するクレームを受けても、
速やかに改善できていない</t>
    <phoneticPr fontId="1"/>
  </si>
  <si>
    <t>サービスの質を高めるために、
設備を購入したいが、資金が不足している</t>
    <phoneticPr fontId="1"/>
  </si>
  <si>
    <t>人手不足でアフターサービスや顧客管理まで
手を回せない</t>
    <phoneticPr fontId="1"/>
  </si>
  <si>
    <t>すぐに売上に繋がらない顧客管理やアフターサービス
については、実施する余裕がない</t>
    <phoneticPr fontId="1"/>
  </si>
  <si>
    <t>今後の経営方針や商品企画を話し合える
人材がいない</t>
    <rPh sb="8" eb="10">
      <t>ショウヒン</t>
    </rPh>
    <phoneticPr fontId="1"/>
  </si>
  <si>
    <t>新メニュー等を企画する際に、自社のデータや他社の
サービスは参考にしていない</t>
    <phoneticPr fontId="1"/>
  </si>
  <si>
    <t>仕入先について、材料ごとの見直しなどを
長い間行っていない</t>
    <phoneticPr fontId="1"/>
  </si>
  <si>
    <t>調理は従業員任せになっており、
その従業員が退職した場合、事業継続が難しい</t>
    <phoneticPr fontId="1"/>
  </si>
  <si>
    <t>店舗のクリンネスなどについて、
クレームや悪い口コミを書かれたことがある</t>
    <phoneticPr fontId="1"/>
  </si>
  <si>
    <t>建築資材の仕入先や外注先の見直しは
長い間行っていない</t>
    <phoneticPr fontId="1"/>
  </si>
  <si>
    <t>人手が足りず、工期が予定どおりに
終わらないことが多い</t>
    <phoneticPr fontId="1"/>
  </si>
  <si>
    <t>技術や機材不足により、工期が延びたり、
追加工事が発生することがある</t>
    <phoneticPr fontId="1"/>
  </si>
  <si>
    <t>複数の現場を掛け持ちすると、資金繰りが厳しくなる</t>
    <phoneticPr fontId="1"/>
  </si>
  <si>
    <t>工程管理は、紙媒体でやっており、
社内でうまく共有できていない</t>
    <phoneticPr fontId="1"/>
  </si>
  <si>
    <t>人手不足でアフターサービスや顧客管理まで
手が回らない</t>
    <phoneticPr fontId="1"/>
  </si>
  <si>
    <t>本来、料金が発生するようなサービスまで
アフターサービスと称して対応せざるを得ない</t>
    <phoneticPr fontId="1"/>
  </si>
  <si>
    <t>アフターサービスの際に得られた情報を
現場まで還元できていない</t>
    <phoneticPr fontId="1"/>
  </si>
  <si>
    <t>今後の経営方針や宿泊プランなどの
企画を話し合える人材がいない</t>
    <phoneticPr fontId="1"/>
  </si>
  <si>
    <t>資金が不足しており、
新サービスを企画する余裕がない</t>
    <phoneticPr fontId="1"/>
  </si>
  <si>
    <t>新しいプランなどを企画する際に、
自社のデータや他社の動向は参考にしていない</t>
    <phoneticPr fontId="1"/>
  </si>
  <si>
    <t>サービスや設備について、クレームを受けても、
速やかに改善対応できていない</t>
    <phoneticPr fontId="1"/>
  </si>
  <si>
    <t>広告宣伝や自社サイトの充実に使う
資金が不足している</t>
    <rPh sb="17" eb="19">
      <t>シキン</t>
    </rPh>
    <rPh sb="20" eb="22">
      <t>フソク</t>
    </rPh>
    <phoneticPr fontId="1"/>
  </si>
  <si>
    <t>地域の観光資源の情報や、同業他社の取組みなどを
踏まえたサービスは行っていない</t>
    <phoneticPr fontId="1"/>
  </si>
  <si>
    <t>人手不足でアフターサービスや顧客管理まで
力を回せない</t>
    <phoneticPr fontId="1"/>
  </si>
  <si>
    <t>顧客管理やアフターサービスはすぐには売上に繋が
らないので、実施する余裕がない</t>
    <phoneticPr fontId="1"/>
  </si>
  <si>
    <t>今後の経営方針や商品企画を話し合える
人材がいない</t>
    <phoneticPr fontId="1"/>
  </si>
  <si>
    <t>新商品等を企画する際に、
自社のデータや他社のサービスは参考にしていない</t>
    <phoneticPr fontId="1"/>
  </si>
  <si>
    <t>資金繰り・資金調達</t>
    <rPh sb="0" eb="2">
      <t>シキン</t>
    </rPh>
    <rPh sb="2" eb="3">
      <t>グ</t>
    </rPh>
    <rPh sb="5" eb="7">
      <t>シキン</t>
    </rPh>
    <rPh sb="7" eb="9">
      <t>チョウタツ</t>
    </rPh>
    <phoneticPr fontId="1"/>
  </si>
  <si>
    <t>集客に対する企画を任せられる人材がいない</t>
    <rPh sb="0" eb="2">
      <t>シュウキャク</t>
    </rPh>
    <rPh sb="3" eb="4">
      <t>タイ</t>
    </rPh>
    <rPh sb="6" eb="8">
      <t>キカク</t>
    </rPh>
    <rPh sb="9" eb="10">
      <t>マカ</t>
    </rPh>
    <rPh sb="14" eb="16">
      <t>ジンザイ</t>
    </rPh>
    <phoneticPr fontId="1"/>
  </si>
  <si>
    <t>調理設備は長年更新していない</t>
    <rPh sb="0" eb="2">
      <t>チョウリ</t>
    </rPh>
    <rPh sb="2" eb="4">
      <t>セツビ</t>
    </rPh>
    <rPh sb="5" eb="7">
      <t>ナガネン</t>
    </rPh>
    <rPh sb="7" eb="9">
      <t>コウシン</t>
    </rPh>
    <phoneticPr fontId="1"/>
  </si>
  <si>
    <t>今後の経営方針や労務面の課題について
話し合える人材がいない</t>
    <rPh sb="0" eb="2">
      <t>コンゴ</t>
    </rPh>
    <rPh sb="3" eb="5">
      <t>ケイエイ</t>
    </rPh>
    <rPh sb="5" eb="7">
      <t>ホウシン</t>
    </rPh>
    <rPh sb="8" eb="10">
      <t>ロウム</t>
    </rPh>
    <rPh sb="10" eb="11">
      <t>メン</t>
    </rPh>
    <rPh sb="12" eb="14">
      <t>カダイ</t>
    </rPh>
    <rPh sb="19" eb="20">
      <t>ハナ</t>
    </rPh>
    <rPh sb="21" eb="22">
      <t>ア</t>
    </rPh>
    <rPh sb="24" eb="26">
      <t>ジンザイ</t>
    </rPh>
    <phoneticPr fontId="1"/>
  </si>
  <si>
    <t>利用者のニーズに応じた設備やサービスが
充実していない</t>
    <rPh sb="0" eb="3">
      <t>リヨウシャ</t>
    </rPh>
    <rPh sb="8" eb="9">
      <t>オウ</t>
    </rPh>
    <rPh sb="11" eb="13">
      <t>セツビ</t>
    </rPh>
    <rPh sb="20" eb="22">
      <t>ジュウジツ</t>
    </rPh>
    <phoneticPr fontId="1"/>
  </si>
  <si>
    <t>社会課題の解決にあたって、
サービスを充実させたいが資金が不足している</t>
    <rPh sb="0" eb="2">
      <t>シャカイ</t>
    </rPh>
    <rPh sb="2" eb="4">
      <t>カダイ</t>
    </rPh>
    <rPh sb="5" eb="7">
      <t>カイケツ</t>
    </rPh>
    <rPh sb="19" eb="21">
      <t>ジュウジツ</t>
    </rPh>
    <rPh sb="26" eb="28">
      <t>シキン</t>
    </rPh>
    <rPh sb="29" eb="31">
      <t>フソク</t>
    </rPh>
    <phoneticPr fontId="1"/>
  </si>
  <si>
    <t>地域の動向を踏まえた企画が検討できていない</t>
    <rPh sb="3" eb="5">
      <t>ドウコウ</t>
    </rPh>
    <rPh sb="6" eb="7">
      <t>フ</t>
    </rPh>
    <rPh sb="10" eb="12">
      <t>キカク</t>
    </rPh>
    <rPh sb="13" eb="15">
      <t>ケントウ</t>
    </rPh>
    <phoneticPr fontId="1"/>
  </si>
  <si>
    <t>利用者の確保に向けた周知活動を行うことの
できる人材がいない</t>
    <rPh sb="0" eb="3">
      <t>リヨウシャ</t>
    </rPh>
    <rPh sb="4" eb="6">
      <t>カクホ</t>
    </rPh>
    <rPh sb="7" eb="8">
      <t>ム</t>
    </rPh>
    <rPh sb="10" eb="12">
      <t>シュウチ</t>
    </rPh>
    <rPh sb="12" eb="14">
      <t>カツドウ</t>
    </rPh>
    <rPh sb="15" eb="16">
      <t>オコナ</t>
    </rPh>
    <rPh sb="24" eb="26">
      <t>ジンザイ</t>
    </rPh>
    <phoneticPr fontId="1"/>
  </si>
  <si>
    <t>他社と比べて差別化できるサービスや設備がない</t>
    <rPh sb="0" eb="2">
      <t>タシャ</t>
    </rPh>
    <rPh sb="3" eb="4">
      <t>クラ</t>
    </rPh>
    <rPh sb="6" eb="9">
      <t>サベツカ</t>
    </rPh>
    <rPh sb="17" eb="19">
      <t>セツビ</t>
    </rPh>
    <phoneticPr fontId="1"/>
  </si>
  <si>
    <t>利用者の確保に向けた周知活動に対して、
資金を投入する余裕がない</t>
    <rPh sb="0" eb="3">
      <t>リヨウシャ</t>
    </rPh>
    <rPh sb="4" eb="6">
      <t>カクホ</t>
    </rPh>
    <rPh sb="7" eb="8">
      <t>ム</t>
    </rPh>
    <rPh sb="10" eb="12">
      <t>シュウチ</t>
    </rPh>
    <rPh sb="12" eb="14">
      <t>カツドウ</t>
    </rPh>
    <rPh sb="15" eb="16">
      <t>タイ</t>
    </rPh>
    <rPh sb="20" eb="22">
      <t>シキン</t>
    </rPh>
    <rPh sb="23" eb="25">
      <t>トウニュウ</t>
    </rPh>
    <rPh sb="27" eb="29">
      <t>ヨユウ</t>
    </rPh>
    <phoneticPr fontId="1"/>
  </si>
  <si>
    <t>事業継続に必要な最低利用者数を把握していない</t>
    <rPh sb="0" eb="2">
      <t>ジギョウ</t>
    </rPh>
    <rPh sb="2" eb="4">
      <t>ケイゾク</t>
    </rPh>
    <rPh sb="5" eb="7">
      <t>ヒツヨウ</t>
    </rPh>
    <rPh sb="8" eb="10">
      <t>サイテイ</t>
    </rPh>
    <rPh sb="10" eb="12">
      <t>リヨウ</t>
    </rPh>
    <rPh sb="12" eb="13">
      <t>シャ</t>
    </rPh>
    <rPh sb="13" eb="14">
      <t>スウ</t>
    </rPh>
    <rPh sb="15" eb="17">
      <t>ハアク</t>
    </rPh>
    <phoneticPr fontId="1"/>
  </si>
  <si>
    <t>従業員の定着率が低く、
利用者の満足度が低下している</t>
    <rPh sb="0" eb="3">
      <t>ジュウギョウイン</t>
    </rPh>
    <rPh sb="4" eb="7">
      <t>テイチャクリツ</t>
    </rPh>
    <rPh sb="8" eb="9">
      <t>ヒク</t>
    </rPh>
    <rPh sb="12" eb="15">
      <t>リヨウシャ</t>
    </rPh>
    <rPh sb="16" eb="19">
      <t>マンゾクド</t>
    </rPh>
    <rPh sb="20" eb="22">
      <t>テイカ</t>
    </rPh>
    <phoneticPr fontId="1"/>
  </si>
  <si>
    <t>従業員の応対レベルに差が大きく、
継続利用者が増加しない</t>
    <rPh sb="0" eb="3">
      <t>ジュウギョウイン</t>
    </rPh>
    <rPh sb="4" eb="6">
      <t>オウタイ</t>
    </rPh>
    <rPh sb="10" eb="11">
      <t>サ</t>
    </rPh>
    <rPh sb="12" eb="13">
      <t>オオ</t>
    </rPh>
    <rPh sb="17" eb="19">
      <t>ケイゾク</t>
    </rPh>
    <rPh sb="19" eb="21">
      <t>リヨウ</t>
    </rPh>
    <rPh sb="21" eb="22">
      <t>シャ</t>
    </rPh>
    <rPh sb="23" eb="25">
      <t>ゾウカ</t>
    </rPh>
    <phoneticPr fontId="1"/>
  </si>
  <si>
    <t>サービスの質を高めるために、
設備を更新したいが、資金が不足している</t>
    <rPh sb="5" eb="6">
      <t>シツ</t>
    </rPh>
    <rPh sb="7" eb="8">
      <t>タカ</t>
    </rPh>
    <rPh sb="15" eb="17">
      <t>セツビ</t>
    </rPh>
    <rPh sb="18" eb="20">
      <t>コウシン</t>
    </rPh>
    <rPh sb="25" eb="27">
      <t>シキン</t>
    </rPh>
    <rPh sb="28" eb="30">
      <t>フソク</t>
    </rPh>
    <phoneticPr fontId="1"/>
  </si>
  <si>
    <t>マーケティング</t>
    <phoneticPr fontId="1"/>
  </si>
  <si>
    <t>マーケ
ティング</t>
    <phoneticPr fontId="1"/>
  </si>
  <si>
    <t>安定したサービスを提供するための
マニュアル等がない</t>
    <rPh sb="0" eb="2">
      <t>アンテイ</t>
    </rPh>
    <rPh sb="9" eb="11">
      <t>テイキョウ</t>
    </rPh>
    <rPh sb="22" eb="23">
      <t>トウ</t>
    </rPh>
    <phoneticPr fontId="1"/>
  </si>
  <si>
    <t>顧客管理</t>
    <rPh sb="0" eb="2">
      <t>コキャク</t>
    </rPh>
    <rPh sb="2" eb="4">
      <t>カンリ</t>
    </rPh>
    <phoneticPr fontId="1"/>
  </si>
  <si>
    <t>利用者の意見を踏まえた対応について検討する
人材がいない</t>
    <rPh sb="0" eb="3">
      <t>リヨウシャ</t>
    </rPh>
    <rPh sb="4" eb="6">
      <t>イケン</t>
    </rPh>
    <rPh sb="7" eb="8">
      <t>フ</t>
    </rPh>
    <rPh sb="11" eb="13">
      <t>タイオウ</t>
    </rPh>
    <rPh sb="17" eb="19">
      <t>ケントウ</t>
    </rPh>
    <rPh sb="22" eb="23">
      <t>ヒト</t>
    </rPh>
    <rPh sb="23" eb="24">
      <t>ザイ</t>
    </rPh>
    <phoneticPr fontId="1"/>
  </si>
  <si>
    <t>顧客管理のためのシステムまたは仕組みが
導入されていない</t>
    <rPh sb="0" eb="2">
      <t>コキャク</t>
    </rPh>
    <rPh sb="2" eb="4">
      <t>カンリ</t>
    </rPh>
    <rPh sb="15" eb="17">
      <t>シク</t>
    </rPh>
    <rPh sb="20" eb="22">
      <t>ドウニュウ</t>
    </rPh>
    <phoneticPr fontId="1"/>
  </si>
  <si>
    <t>成果が表れるのに時間がかかる顧客管理に
資金を投入する余裕がない</t>
    <rPh sb="0" eb="2">
      <t>セイカ</t>
    </rPh>
    <rPh sb="3" eb="4">
      <t>アラワ</t>
    </rPh>
    <rPh sb="8" eb="10">
      <t>ジカン</t>
    </rPh>
    <rPh sb="14" eb="16">
      <t>コキャク</t>
    </rPh>
    <rPh sb="16" eb="18">
      <t>カンリ</t>
    </rPh>
    <rPh sb="20" eb="22">
      <t>シキン</t>
    </rPh>
    <rPh sb="23" eb="25">
      <t>トウニュウ</t>
    </rPh>
    <rPh sb="27" eb="29">
      <t>ヨユウ</t>
    </rPh>
    <phoneticPr fontId="1"/>
  </si>
  <si>
    <t>利用者のニーズを踏まえ、継続利用者や新規利用者を
獲得する方法を把握できていない</t>
    <rPh sb="0" eb="3">
      <t>リヨウシャ</t>
    </rPh>
    <rPh sb="8" eb="9">
      <t>フ</t>
    </rPh>
    <rPh sb="12" eb="14">
      <t>ケイゾク</t>
    </rPh>
    <rPh sb="14" eb="16">
      <t>リヨウ</t>
    </rPh>
    <rPh sb="16" eb="17">
      <t>シャ</t>
    </rPh>
    <rPh sb="18" eb="20">
      <t>シンキ</t>
    </rPh>
    <rPh sb="20" eb="23">
      <t>リヨウシャ</t>
    </rPh>
    <rPh sb="25" eb="27">
      <t>カクトク</t>
    </rPh>
    <rPh sb="29" eb="31">
      <t>ホウホウ</t>
    </rPh>
    <rPh sb="32" eb="34">
      <t>ハアク</t>
    </rPh>
    <phoneticPr fontId="1"/>
  </si>
  <si>
    <t>今後の経営方針や財務面の課題を話し合える
人材がいない</t>
    <rPh sb="0" eb="2">
      <t>コンゴ</t>
    </rPh>
    <rPh sb="3" eb="5">
      <t>ケイエイ</t>
    </rPh>
    <rPh sb="5" eb="7">
      <t>ホウシン</t>
    </rPh>
    <rPh sb="8" eb="10">
      <t>ザイム</t>
    </rPh>
    <rPh sb="10" eb="11">
      <t>メン</t>
    </rPh>
    <rPh sb="12" eb="14">
      <t>カダイ</t>
    </rPh>
    <rPh sb="15" eb="16">
      <t>ハナ</t>
    </rPh>
    <rPh sb="17" eb="18">
      <t>ア</t>
    </rPh>
    <rPh sb="21" eb="23">
      <t>ジンザイ</t>
    </rPh>
    <phoneticPr fontId="1"/>
  </si>
  <si>
    <t>受注額以外で、同業他社と差別化する
アイデアがない</t>
    <rPh sb="0" eb="2">
      <t>ジュチュウ</t>
    </rPh>
    <rPh sb="2" eb="3">
      <t>ガク</t>
    </rPh>
    <rPh sb="3" eb="5">
      <t>イガイ</t>
    </rPh>
    <rPh sb="7" eb="9">
      <t>ドウギョウ</t>
    </rPh>
    <rPh sb="9" eb="11">
      <t>タシャ</t>
    </rPh>
    <rPh sb="12" eb="15">
      <t>サベツカ</t>
    </rPh>
    <phoneticPr fontId="1"/>
  </si>
  <si>
    <t>資金が不足しており、デジタル化を含めた
新サービスを企画する余裕がない</t>
    <rPh sb="0" eb="2">
      <t>シキン</t>
    </rPh>
    <rPh sb="3" eb="5">
      <t>フソク</t>
    </rPh>
    <rPh sb="14" eb="15">
      <t>カ</t>
    </rPh>
    <rPh sb="16" eb="17">
      <t>フク</t>
    </rPh>
    <rPh sb="20" eb="21">
      <t>シン</t>
    </rPh>
    <rPh sb="26" eb="28">
      <t>キカク</t>
    </rPh>
    <rPh sb="30" eb="32">
      <t>ヨユウ</t>
    </rPh>
    <phoneticPr fontId="1"/>
  </si>
  <si>
    <t>新たな企画を行う際に、
自社のデータや他社のサービスは参考にしていない</t>
    <rPh sb="0" eb="1">
      <t>アラ</t>
    </rPh>
    <rPh sb="3" eb="5">
      <t>キカク</t>
    </rPh>
    <rPh sb="6" eb="7">
      <t>オコナ</t>
    </rPh>
    <rPh sb="8" eb="9">
      <t>サイ</t>
    </rPh>
    <rPh sb="12" eb="14">
      <t>ジシャ</t>
    </rPh>
    <rPh sb="19" eb="21">
      <t>タシャ</t>
    </rPh>
    <rPh sb="27" eb="29">
      <t>サンコウ</t>
    </rPh>
    <phoneticPr fontId="1"/>
  </si>
  <si>
    <t>さまざまな分野に営業できる
人材・組織体制となっていない</t>
    <rPh sb="5" eb="7">
      <t>ブンヤ</t>
    </rPh>
    <rPh sb="8" eb="10">
      <t>エイギョウ</t>
    </rPh>
    <rPh sb="14" eb="16">
      <t>ジンザイ</t>
    </rPh>
    <rPh sb="17" eb="19">
      <t>ソシキ</t>
    </rPh>
    <rPh sb="19" eb="21">
      <t>タイセイ</t>
    </rPh>
    <phoneticPr fontId="1"/>
  </si>
  <si>
    <t>他社と比べて差別化できる
要素（特殊貨物への対応）がない</t>
    <rPh sb="0" eb="2">
      <t>タシャ</t>
    </rPh>
    <rPh sb="3" eb="4">
      <t>クラ</t>
    </rPh>
    <rPh sb="6" eb="9">
      <t>サベツカ</t>
    </rPh>
    <rPh sb="13" eb="15">
      <t>ヨウソ</t>
    </rPh>
    <rPh sb="16" eb="18">
      <t>トクシュ</t>
    </rPh>
    <rPh sb="18" eb="20">
      <t>カモツ</t>
    </rPh>
    <rPh sb="22" eb="24">
      <t>タイオウ</t>
    </rPh>
    <phoneticPr fontId="1"/>
  </si>
  <si>
    <t>設備投資を優先するため、広告宣伝費等の販促活動に
投入する資金が不足している</t>
    <rPh sb="0" eb="2">
      <t>セツビ</t>
    </rPh>
    <rPh sb="2" eb="4">
      <t>トウシ</t>
    </rPh>
    <rPh sb="5" eb="7">
      <t>ユウセン</t>
    </rPh>
    <rPh sb="12" eb="14">
      <t>コウコク</t>
    </rPh>
    <rPh sb="14" eb="16">
      <t>センデン</t>
    </rPh>
    <rPh sb="16" eb="17">
      <t>ヒ</t>
    </rPh>
    <rPh sb="17" eb="18">
      <t>トウ</t>
    </rPh>
    <rPh sb="19" eb="21">
      <t>ハンソク</t>
    </rPh>
    <rPh sb="21" eb="23">
      <t>カツドウ</t>
    </rPh>
    <rPh sb="25" eb="27">
      <t>トウニュウ</t>
    </rPh>
    <rPh sb="29" eb="31">
      <t>シキン</t>
    </rPh>
    <rPh sb="32" eb="34">
      <t>フソク</t>
    </rPh>
    <phoneticPr fontId="1"/>
  </si>
  <si>
    <t>運送</t>
    <rPh sb="0" eb="2">
      <t>ウンソウ</t>
    </rPh>
    <phoneticPr fontId="1"/>
  </si>
  <si>
    <t>新規取引先の開拓に向けた情報収集や業界の
動向調査は行っていない</t>
    <rPh sb="0" eb="2">
      <t>シンキ</t>
    </rPh>
    <rPh sb="2" eb="4">
      <t>トリヒキ</t>
    </rPh>
    <rPh sb="4" eb="5">
      <t>サキ</t>
    </rPh>
    <rPh sb="6" eb="8">
      <t>カイタク</t>
    </rPh>
    <rPh sb="9" eb="10">
      <t>ム</t>
    </rPh>
    <rPh sb="12" eb="14">
      <t>ジョウホウ</t>
    </rPh>
    <rPh sb="14" eb="16">
      <t>シュウシュウ</t>
    </rPh>
    <rPh sb="17" eb="19">
      <t>ギョウカイ</t>
    </rPh>
    <rPh sb="21" eb="23">
      <t>ドウコウ</t>
    </rPh>
    <rPh sb="23" eb="25">
      <t>チョウサ</t>
    </rPh>
    <rPh sb="26" eb="27">
      <t>オコナ</t>
    </rPh>
    <phoneticPr fontId="1"/>
  </si>
  <si>
    <t>ドライバー不足や高齢化により、
受注を逃すことがある</t>
    <rPh sb="5" eb="7">
      <t>ブソク</t>
    </rPh>
    <rPh sb="8" eb="11">
      <t>コウレイカ</t>
    </rPh>
    <rPh sb="16" eb="18">
      <t>ジュチュウ</t>
    </rPh>
    <rPh sb="19" eb="20">
      <t>ノガ</t>
    </rPh>
    <phoneticPr fontId="1"/>
  </si>
  <si>
    <t>受注量や積み荷に応じた車両が整っておらず、
収益力が下がっている</t>
    <rPh sb="0" eb="2">
      <t>ジュチュウ</t>
    </rPh>
    <rPh sb="2" eb="3">
      <t>リョウ</t>
    </rPh>
    <rPh sb="4" eb="5">
      <t>ツ</t>
    </rPh>
    <rPh sb="6" eb="7">
      <t>ニ</t>
    </rPh>
    <rPh sb="8" eb="9">
      <t>オウ</t>
    </rPh>
    <rPh sb="11" eb="13">
      <t>シャリョウ</t>
    </rPh>
    <rPh sb="14" eb="15">
      <t>トトノ</t>
    </rPh>
    <rPh sb="22" eb="25">
      <t>シュウエキリョク</t>
    </rPh>
    <rPh sb="26" eb="27">
      <t>サ</t>
    </rPh>
    <phoneticPr fontId="1"/>
  </si>
  <si>
    <t>受注を優先するために、
適正値を下回る価格で受注することがある</t>
    <rPh sb="0" eb="2">
      <t>ジュチュウ</t>
    </rPh>
    <rPh sb="3" eb="5">
      <t>ユウセン</t>
    </rPh>
    <rPh sb="12" eb="14">
      <t>テキセイ</t>
    </rPh>
    <rPh sb="14" eb="15">
      <t>チ</t>
    </rPh>
    <rPh sb="16" eb="18">
      <t>シタマワ</t>
    </rPh>
    <rPh sb="19" eb="21">
      <t>カカク</t>
    </rPh>
    <rPh sb="22" eb="24">
      <t>ジュチュウ</t>
    </rPh>
    <phoneticPr fontId="1"/>
  </si>
  <si>
    <t>急な受注に相互に対応できる
外注先を確保できていない</t>
    <rPh sb="0" eb="1">
      <t>キュウ</t>
    </rPh>
    <rPh sb="2" eb="4">
      <t>ジュチュウ</t>
    </rPh>
    <rPh sb="5" eb="7">
      <t>ソウゴ</t>
    </rPh>
    <rPh sb="8" eb="10">
      <t>タイオウ</t>
    </rPh>
    <rPh sb="14" eb="17">
      <t>ガイチュウサキ</t>
    </rPh>
    <rPh sb="18" eb="20">
      <t>カクホ</t>
    </rPh>
    <phoneticPr fontId="1"/>
  </si>
  <si>
    <t>輸送トラブルの対応は保険会社まかせとなるなど、
担当できる人材がいない</t>
    <rPh sb="0" eb="2">
      <t>ユソウ</t>
    </rPh>
    <rPh sb="7" eb="9">
      <t>タイオウ</t>
    </rPh>
    <rPh sb="10" eb="12">
      <t>ホケン</t>
    </rPh>
    <rPh sb="12" eb="14">
      <t>カイシャ</t>
    </rPh>
    <rPh sb="24" eb="26">
      <t>タントウ</t>
    </rPh>
    <rPh sb="29" eb="31">
      <t>ジンザイ</t>
    </rPh>
    <phoneticPr fontId="1"/>
  </si>
  <si>
    <t>配車管理システムの活用がない等、
効率的な配車ができていない</t>
    <rPh sb="0" eb="2">
      <t>ハイシャ</t>
    </rPh>
    <rPh sb="2" eb="4">
      <t>カンリ</t>
    </rPh>
    <rPh sb="9" eb="11">
      <t>カツヨウ</t>
    </rPh>
    <rPh sb="14" eb="15">
      <t>トウ</t>
    </rPh>
    <rPh sb="17" eb="20">
      <t>コウリツテキ</t>
    </rPh>
    <rPh sb="21" eb="23">
      <t>ハイシャ</t>
    </rPh>
    <phoneticPr fontId="1"/>
  </si>
  <si>
    <t>資金不足のため、運送の効率化を図るための
設備や拠点を確保できない</t>
    <rPh sb="0" eb="2">
      <t>シキン</t>
    </rPh>
    <rPh sb="2" eb="4">
      <t>ブソク</t>
    </rPh>
    <rPh sb="8" eb="10">
      <t>ウンソウ</t>
    </rPh>
    <rPh sb="11" eb="14">
      <t>コウリツカ</t>
    </rPh>
    <rPh sb="15" eb="16">
      <t>ハカ</t>
    </rPh>
    <rPh sb="21" eb="23">
      <t>セツビ</t>
    </rPh>
    <rPh sb="24" eb="26">
      <t>キョテン</t>
    </rPh>
    <rPh sb="27" eb="29">
      <t>カクホ</t>
    </rPh>
    <phoneticPr fontId="1"/>
  </si>
  <si>
    <t>受注先の動向や発注予定を把握するといった仕組みが
なく、先を見越した戦略が立てられていない</t>
    <rPh sb="0" eb="2">
      <t>ジュチュウ</t>
    </rPh>
    <rPh sb="2" eb="3">
      <t>サキ</t>
    </rPh>
    <rPh sb="4" eb="6">
      <t>ドウコウ</t>
    </rPh>
    <rPh sb="7" eb="9">
      <t>ハッチュウ</t>
    </rPh>
    <rPh sb="9" eb="11">
      <t>ヨテイ</t>
    </rPh>
    <rPh sb="12" eb="14">
      <t>ハアク</t>
    </rPh>
    <rPh sb="20" eb="22">
      <t>シク</t>
    </rPh>
    <rPh sb="28" eb="29">
      <t>サキ</t>
    </rPh>
    <rPh sb="30" eb="32">
      <t>ミコ</t>
    </rPh>
    <rPh sb="34" eb="36">
      <t>センリャク</t>
    </rPh>
    <rPh sb="37" eb="38">
      <t>タ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</si>
</sst>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12"/>
      <color theme="1"/>
      <name val="HG丸ｺﾞｼｯｸM-PRO"/>
      <family val="3"/>
      <charset val="128"/>
    </font>
    <font>
      <b/>
      <sz val="16"/>
      <color rgb="FFCC9900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4"/>
      <color theme="0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sz val="24"/>
      <color theme="1"/>
      <name val="HG丸ｺﾞｼｯｸM-PRO"/>
      <family val="3"/>
      <charset val="128"/>
    </font>
    <font>
      <sz val="18"/>
      <color theme="1"/>
      <name val="游ゴシック"/>
      <family val="2"/>
      <charset val="128"/>
      <scheme val="minor"/>
    </font>
    <font>
      <b/>
      <sz val="18"/>
      <color rgb="FFCC9900"/>
      <name val="HG丸ｺﾞｼｯｸM-PRO"/>
      <family val="3"/>
      <charset val="128"/>
    </font>
    <font>
      <b/>
      <sz val="36"/>
      <color rgb="FF00B0F0"/>
      <name val="HG丸ｺﾞｼｯｸM-PRO"/>
      <family val="3"/>
      <charset val="128"/>
    </font>
    <font>
      <sz val="36"/>
      <color theme="1"/>
      <name val="游ゴシック"/>
      <family val="2"/>
      <charset val="128"/>
      <scheme val="minor"/>
    </font>
    <font>
      <sz val="22"/>
      <color theme="1"/>
      <name val="HG丸ｺﾞｼｯｸM-PRO"/>
      <family val="3"/>
      <charset val="128"/>
    </font>
    <font>
      <b/>
      <sz val="22"/>
      <color theme="0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6"/>
      <color rgb="FF000000"/>
      <name val="HG丸ｺﾞｼｯｸM-PRO"/>
      <family val="3"/>
      <charset val="128"/>
    </font>
    <font>
      <b/>
      <sz val="16"/>
      <color indexed="81"/>
      <name val="HG丸ｺﾞｼｯｸM-PRO"/>
      <family val="3"/>
      <charset val="128"/>
    </font>
    <font>
      <sz val="16"/>
      <color indexed="81"/>
      <name val="HG丸ｺﾞｼｯｸM-PRO"/>
      <family val="3"/>
      <charset val="128"/>
    </font>
    <font>
      <sz val="22"/>
      <name val="HG丸ｺﾞｼｯｸM-PRO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993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79D6"/>
        <bgColor indexed="64"/>
      </patternFill>
    </fill>
  </fills>
  <borders count="103">
    <border>
      <left/>
      <right/>
      <top/>
      <bottom/>
      <diagonal/>
    </border>
    <border>
      <left style="thin">
        <color rgb="FFCC9900"/>
      </left>
      <right style="thin">
        <color rgb="FFCC9900"/>
      </right>
      <top style="thin">
        <color rgb="FFCC9900"/>
      </top>
      <bottom style="thin">
        <color rgb="FFCC9900"/>
      </bottom>
      <diagonal/>
    </border>
    <border>
      <left style="medium">
        <color rgb="FFCC9900"/>
      </left>
      <right style="thin">
        <color rgb="FFCC9900"/>
      </right>
      <top style="medium">
        <color rgb="FFCC9900"/>
      </top>
      <bottom style="thin">
        <color rgb="FFCC9900"/>
      </bottom>
      <diagonal/>
    </border>
    <border>
      <left style="thin">
        <color rgb="FFCC9900"/>
      </left>
      <right style="thin">
        <color rgb="FFCC9900"/>
      </right>
      <top style="medium">
        <color rgb="FFCC9900"/>
      </top>
      <bottom style="thin">
        <color rgb="FFCC9900"/>
      </bottom>
      <diagonal/>
    </border>
    <border>
      <left style="thin">
        <color rgb="FFCC9900"/>
      </left>
      <right style="medium">
        <color rgb="FFCC9900"/>
      </right>
      <top style="medium">
        <color rgb="FFCC9900"/>
      </top>
      <bottom style="thin">
        <color rgb="FFCC9900"/>
      </bottom>
      <diagonal/>
    </border>
    <border>
      <left style="medium">
        <color rgb="FFCC9900"/>
      </left>
      <right style="thin">
        <color rgb="FFCC9900"/>
      </right>
      <top style="thin">
        <color rgb="FFCC9900"/>
      </top>
      <bottom style="thin">
        <color rgb="FFCC9900"/>
      </bottom>
      <diagonal/>
    </border>
    <border>
      <left style="thin">
        <color rgb="FFCC9900"/>
      </left>
      <right style="medium">
        <color rgb="FFCC9900"/>
      </right>
      <top style="thin">
        <color rgb="FFCC9900"/>
      </top>
      <bottom style="thin">
        <color rgb="FFCC9900"/>
      </bottom>
      <diagonal/>
    </border>
    <border>
      <left style="medium">
        <color rgb="FFCC9900"/>
      </left>
      <right style="thin">
        <color rgb="FFCC9900"/>
      </right>
      <top style="thin">
        <color rgb="FFCC9900"/>
      </top>
      <bottom style="medium">
        <color rgb="FFCC9900"/>
      </bottom>
      <diagonal/>
    </border>
    <border>
      <left style="thin">
        <color rgb="FFCC9900"/>
      </left>
      <right style="thin">
        <color rgb="FFCC9900"/>
      </right>
      <top style="thin">
        <color rgb="FFCC9900"/>
      </top>
      <bottom style="medium">
        <color rgb="FFCC9900"/>
      </bottom>
      <diagonal/>
    </border>
    <border>
      <left style="thin">
        <color rgb="FFCC9900"/>
      </left>
      <right style="medium">
        <color rgb="FFCC9900"/>
      </right>
      <top style="thin">
        <color rgb="FFCC9900"/>
      </top>
      <bottom style="medium">
        <color rgb="FFCC9900"/>
      </bottom>
      <diagonal/>
    </border>
    <border>
      <left/>
      <right/>
      <top/>
      <bottom style="thin">
        <color indexed="64"/>
      </bottom>
      <diagonal/>
    </border>
    <border>
      <left style="medium">
        <color rgb="FFCC9900"/>
      </left>
      <right/>
      <top style="medium">
        <color rgb="FFCC9900"/>
      </top>
      <bottom/>
      <diagonal/>
    </border>
    <border>
      <left/>
      <right style="thin">
        <color theme="0"/>
      </right>
      <top style="medium">
        <color rgb="FFCC9900"/>
      </top>
      <bottom/>
      <diagonal/>
    </border>
    <border>
      <left style="medium">
        <color rgb="FFCC9900"/>
      </left>
      <right/>
      <top/>
      <bottom style="medium">
        <color rgb="FFCC9900"/>
      </bottom>
      <diagonal/>
    </border>
    <border>
      <left style="medium">
        <color rgb="FFCC9900"/>
      </left>
      <right/>
      <top style="medium">
        <color rgb="FFCC9900"/>
      </top>
      <bottom style="thin">
        <color rgb="FFCC9900"/>
      </bottom>
      <diagonal/>
    </border>
    <border>
      <left style="medium">
        <color rgb="FFCC9900"/>
      </left>
      <right/>
      <top/>
      <bottom/>
      <diagonal/>
    </border>
    <border>
      <left style="medium">
        <color rgb="FFCC9900"/>
      </left>
      <right style="thin">
        <color rgb="FFCC9900"/>
      </right>
      <top/>
      <bottom/>
      <diagonal/>
    </border>
    <border>
      <left style="medium">
        <color rgb="FFCC9900"/>
      </left>
      <right style="thin">
        <color rgb="FFCC9900"/>
      </right>
      <top/>
      <bottom style="medium">
        <color rgb="FFCC9900"/>
      </bottom>
      <diagonal/>
    </border>
    <border>
      <left style="thin">
        <color rgb="FFCC9900"/>
      </left>
      <right style="thin">
        <color rgb="FFCC9900"/>
      </right>
      <top/>
      <bottom style="medium">
        <color rgb="FFCC9900"/>
      </bottom>
      <diagonal/>
    </border>
    <border>
      <left style="medium">
        <color rgb="FFCC9900"/>
      </left>
      <right/>
      <top style="thin">
        <color rgb="FFCC9900"/>
      </top>
      <bottom style="thin">
        <color rgb="FFCC9900"/>
      </bottom>
      <diagonal/>
    </border>
    <border>
      <left style="thin">
        <color rgb="FFFF9933"/>
      </left>
      <right/>
      <top style="thin">
        <color rgb="FFFF9933"/>
      </top>
      <bottom/>
      <diagonal/>
    </border>
    <border>
      <left/>
      <right/>
      <top style="thin">
        <color rgb="FFFF9933"/>
      </top>
      <bottom/>
      <diagonal/>
    </border>
    <border>
      <left/>
      <right style="thin">
        <color rgb="FFFF9933"/>
      </right>
      <top style="thin">
        <color rgb="FFFF9933"/>
      </top>
      <bottom/>
      <diagonal/>
    </border>
    <border>
      <left style="thin">
        <color rgb="FFFF79D6"/>
      </left>
      <right/>
      <top style="thin">
        <color rgb="FFFF79D6"/>
      </top>
      <bottom/>
      <diagonal/>
    </border>
    <border>
      <left/>
      <right/>
      <top style="thin">
        <color rgb="FFFF79D6"/>
      </top>
      <bottom/>
      <diagonal/>
    </border>
    <border>
      <left/>
      <right style="thin">
        <color rgb="FFFF79D6"/>
      </right>
      <top style="thin">
        <color rgb="FFFF79D6"/>
      </top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/>
      <right/>
      <top style="thick">
        <color rgb="FFCC9900"/>
      </top>
      <bottom/>
      <diagonal/>
    </border>
    <border>
      <left style="thin">
        <color rgb="FFCC9900"/>
      </left>
      <right/>
      <top style="medium">
        <color rgb="FFCC9900"/>
      </top>
      <bottom style="thin">
        <color rgb="FFCC9900"/>
      </bottom>
      <diagonal/>
    </border>
    <border>
      <left style="thin">
        <color rgb="FFCC9900"/>
      </left>
      <right/>
      <top/>
      <bottom/>
      <diagonal/>
    </border>
    <border>
      <left style="thin">
        <color rgb="FFCC9900"/>
      </left>
      <right/>
      <top style="thin">
        <color rgb="FFCC9900"/>
      </top>
      <bottom style="thin">
        <color rgb="FFCC9900"/>
      </bottom>
      <diagonal/>
    </border>
    <border>
      <left style="thin">
        <color rgb="FFCC9900"/>
      </left>
      <right/>
      <top/>
      <bottom style="medium">
        <color rgb="FFCC9900"/>
      </bottom>
      <diagonal/>
    </border>
    <border>
      <left style="thick">
        <color rgb="FFCC9900"/>
      </left>
      <right style="thick">
        <color rgb="FFCC9900"/>
      </right>
      <top style="medium">
        <color rgb="FFCC9900"/>
      </top>
      <bottom style="thin">
        <color rgb="FFCC9900"/>
      </bottom>
      <diagonal/>
    </border>
    <border>
      <left style="thick">
        <color rgb="FFCC9900"/>
      </left>
      <right style="thick">
        <color rgb="FFCC9900"/>
      </right>
      <top/>
      <bottom/>
      <diagonal/>
    </border>
    <border>
      <left style="thick">
        <color rgb="FFCC9900"/>
      </left>
      <right style="thick">
        <color rgb="FFCC9900"/>
      </right>
      <top style="thin">
        <color rgb="FFCC9900"/>
      </top>
      <bottom style="thin">
        <color rgb="FFCC9900"/>
      </bottom>
      <diagonal/>
    </border>
    <border>
      <left style="thick">
        <color rgb="FFCC9900"/>
      </left>
      <right style="thick">
        <color rgb="FFCC9900"/>
      </right>
      <top/>
      <bottom style="thick">
        <color rgb="FFCC9900"/>
      </bottom>
      <diagonal/>
    </border>
    <border>
      <left/>
      <right/>
      <top style="thin">
        <color rgb="FFCC9900"/>
      </top>
      <bottom style="thin">
        <color rgb="FFCC9900"/>
      </bottom>
      <diagonal/>
    </border>
    <border>
      <left/>
      <right/>
      <top/>
      <bottom style="medium">
        <color rgb="FFCC9900"/>
      </bottom>
      <diagonal/>
    </border>
    <border>
      <left style="thin">
        <color theme="0"/>
      </left>
      <right style="thin">
        <color theme="0"/>
      </right>
      <top style="medium">
        <color rgb="FFCC9900"/>
      </top>
      <bottom style="medium">
        <color rgb="FFCC9900"/>
      </bottom>
      <diagonal/>
    </border>
    <border>
      <left/>
      <right style="thick">
        <color rgb="FFCC9900"/>
      </right>
      <top style="thick">
        <color rgb="FFCC9900"/>
      </top>
      <bottom/>
      <diagonal/>
    </border>
    <border>
      <left style="thin">
        <color theme="0"/>
      </left>
      <right style="thin">
        <color theme="0"/>
      </right>
      <top style="medium">
        <color rgb="FFCC9900"/>
      </top>
      <bottom style="thin">
        <color rgb="FFCC9900"/>
      </bottom>
      <diagonal/>
    </border>
    <border>
      <left style="thin">
        <color theme="0"/>
      </left>
      <right style="thick">
        <color rgb="FFCC9900"/>
      </right>
      <top style="thick">
        <color rgb="FFCC9900"/>
      </top>
      <bottom style="medium">
        <color rgb="FFCC9900"/>
      </bottom>
      <diagonal/>
    </border>
    <border>
      <left style="thin">
        <color rgb="FFCC9900"/>
      </left>
      <right style="thin">
        <color rgb="FFCC9900"/>
      </right>
      <top/>
      <bottom/>
      <diagonal/>
    </border>
    <border>
      <left style="thin">
        <color rgb="FFCC9900"/>
      </left>
      <right style="medium">
        <color rgb="FFCC9900"/>
      </right>
      <top/>
      <bottom/>
      <diagonal/>
    </border>
    <border>
      <left style="medium">
        <color rgb="FFCC9900"/>
      </left>
      <right style="thin">
        <color rgb="FFCC9900"/>
      </right>
      <top style="medium">
        <color rgb="FFCC9900"/>
      </top>
      <bottom/>
      <diagonal/>
    </border>
    <border>
      <left style="medium">
        <color rgb="FFCC9900"/>
      </left>
      <right style="thin">
        <color rgb="FFCC9900"/>
      </right>
      <top/>
      <bottom style="thin">
        <color rgb="FFCC9900"/>
      </bottom>
      <diagonal/>
    </border>
    <border>
      <left/>
      <right style="medium">
        <color rgb="FFCC9900"/>
      </right>
      <top/>
      <bottom/>
      <diagonal/>
    </border>
    <border>
      <left style="thin">
        <color rgb="FFCC9900"/>
      </left>
      <right style="thin">
        <color rgb="FFCC9900"/>
      </right>
      <top style="medium">
        <color rgb="FFCC9900"/>
      </top>
      <bottom/>
      <diagonal/>
    </border>
    <border>
      <left style="thin">
        <color rgb="FFCC9900"/>
      </left>
      <right style="thin">
        <color rgb="FFCC9900"/>
      </right>
      <top/>
      <bottom style="thin">
        <color rgb="FFCC9900"/>
      </bottom>
      <diagonal/>
    </border>
    <border>
      <left style="thin">
        <color rgb="FFCC9900"/>
      </left>
      <right style="medium">
        <color rgb="FFCC9900"/>
      </right>
      <top style="medium">
        <color rgb="FFCC9900"/>
      </top>
      <bottom/>
      <diagonal/>
    </border>
    <border>
      <left style="thin">
        <color rgb="FFCC9900"/>
      </left>
      <right style="medium">
        <color rgb="FFCC9900"/>
      </right>
      <top/>
      <bottom style="thin">
        <color rgb="FFCC9900"/>
      </bottom>
      <diagonal/>
    </border>
    <border>
      <left style="thin">
        <color indexed="64"/>
      </left>
      <right/>
      <top/>
      <bottom/>
      <diagonal/>
    </border>
    <border>
      <left style="medium">
        <color rgb="FFCC9900"/>
      </left>
      <right style="thin">
        <color rgb="FFCC9900"/>
      </right>
      <top style="thin">
        <color rgb="FFCC9900"/>
      </top>
      <bottom/>
      <diagonal/>
    </border>
    <border>
      <left style="thin">
        <color rgb="FFCC9900"/>
      </left>
      <right style="thin">
        <color rgb="FFCC9900"/>
      </right>
      <top style="thin">
        <color rgb="FFCC9900"/>
      </top>
      <bottom/>
      <diagonal/>
    </border>
    <border>
      <left style="thin">
        <color rgb="FFCC9900"/>
      </left>
      <right style="medium">
        <color rgb="FFCC9900"/>
      </right>
      <top style="thin">
        <color rgb="FFCC9900"/>
      </top>
      <bottom/>
      <diagonal/>
    </border>
    <border>
      <left style="thin">
        <color rgb="FFFF00FF"/>
      </left>
      <right/>
      <top style="thin">
        <color rgb="FFFF00FF"/>
      </top>
      <bottom/>
      <diagonal/>
    </border>
    <border>
      <left/>
      <right/>
      <top style="thin">
        <color rgb="FFFF00FF"/>
      </top>
      <bottom/>
      <diagonal/>
    </border>
    <border>
      <left/>
      <right style="thin">
        <color rgb="FFFF00FF"/>
      </right>
      <top style="thin">
        <color rgb="FFFF00FF"/>
      </top>
      <bottom/>
      <diagonal/>
    </border>
    <border>
      <left style="thin">
        <color rgb="FFFF00FF"/>
      </left>
      <right/>
      <top/>
      <bottom/>
      <diagonal/>
    </border>
    <border>
      <left/>
      <right style="thin">
        <color rgb="FFFF00FF"/>
      </right>
      <top/>
      <bottom/>
      <diagonal/>
    </border>
    <border>
      <left style="thin">
        <color rgb="FFFF00FF"/>
      </left>
      <right/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6600"/>
      </left>
      <right/>
      <top style="thin">
        <color rgb="FFFF6600"/>
      </top>
      <bottom/>
      <diagonal/>
    </border>
    <border>
      <left/>
      <right/>
      <top style="thin">
        <color rgb="FFFF6600"/>
      </top>
      <bottom/>
      <diagonal/>
    </border>
    <border>
      <left/>
      <right style="thin">
        <color rgb="FFFF6600"/>
      </right>
      <top style="thin">
        <color rgb="FFFF6600"/>
      </top>
      <bottom/>
      <diagonal/>
    </border>
    <border>
      <left style="thin">
        <color rgb="FFFF6600"/>
      </left>
      <right/>
      <top/>
      <bottom style="thin">
        <color rgb="FFFF6600"/>
      </bottom>
      <diagonal/>
    </border>
    <border>
      <left/>
      <right/>
      <top/>
      <bottom style="thin">
        <color rgb="FFFF6600"/>
      </bottom>
      <diagonal/>
    </border>
    <border>
      <left/>
      <right style="thin">
        <color rgb="FFFF6600"/>
      </right>
      <top/>
      <bottom style="thin">
        <color rgb="FFFF6600"/>
      </bottom>
      <diagonal/>
    </border>
    <border>
      <left style="thin">
        <color rgb="FFCC9900"/>
      </left>
      <right style="medium">
        <color rgb="FFCC9900"/>
      </right>
      <top/>
      <bottom style="medium">
        <color rgb="FFCC99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medium">
        <color rgb="FF0070C0"/>
      </top>
      <bottom style="thin">
        <color indexed="64"/>
      </bottom>
      <diagonal/>
    </border>
    <border>
      <left style="thin">
        <color indexed="64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 style="thin">
        <color indexed="64"/>
      </right>
      <top style="thin">
        <color rgb="FF0070C0"/>
      </top>
      <bottom style="thin">
        <color indexed="64"/>
      </bottom>
      <diagonal/>
    </border>
    <border>
      <left style="thin">
        <color indexed="64"/>
      </left>
      <right style="medium">
        <color rgb="FF0070C0"/>
      </right>
      <top style="thin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thin">
        <color rgb="FF0070C0"/>
      </bottom>
      <diagonal/>
    </border>
    <border>
      <left style="thin">
        <color indexed="64"/>
      </left>
      <right style="medium">
        <color rgb="FF0070C0"/>
      </right>
      <top style="thin">
        <color indexed="64"/>
      </top>
      <bottom style="thin">
        <color rgb="FF0070C0"/>
      </bottom>
      <diagonal/>
    </border>
    <border>
      <left style="medium">
        <color rgb="FF0070C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0070C0"/>
      </right>
      <top/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70C0"/>
      </bottom>
      <diagonal/>
    </border>
    <border>
      <left style="thin">
        <color indexed="64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medium">
        <color rgb="FFCC9900"/>
      </left>
      <right style="thin">
        <color theme="0"/>
      </right>
      <top style="medium">
        <color rgb="FFCC9900"/>
      </top>
      <bottom style="medium">
        <color rgb="FFCC9900"/>
      </bottom>
      <diagonal/>
    </border>
    <border>
      <left/>
      <right style="thin">
        <color theme="0"/>
      </right>
      <top style="medium">
        <color rgb="FFCC9900"/>
      </top>
      <bottom style="medium">
        <color rgb="FFCC9900"/>
      </bottom>
      <diagonal/>
    </border>
    <border>
      <left/>
      <right style="medium">
        <color rgb="FFCC9900"/>
      </right>
      <top style="medium">
        <color rgb="FFCC9900"/>
      </top>
      <bottom style="medium">
        <color rgb="FFCC9900"/>
      </bottom>
      <diagonal/>
    </border>
  </borders>
  <cellStyleXfs count="1">
    <xf numFmtId="0" fontId="0" fillId="0" borderId="0">
      <alignment vertical="center"/>
    </xf>
  </cellStyleXfs>
  <cellXfs count="3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 applyBorder="1" applyAlignment="1">
      <alignment vertical="top" wrapText="1"/>
    </xf>
    <xf numFmtId="0" fontId="5" fillId="0" borderId="2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8" xfId="0" applyFont="1" applyFill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 wrapText="1"/>
    </xf>
    <xf numFmtId="0" fontId="2" fillId="0" borderId="35" xfId="0" applyFont="1" applyBorder="1">
      <alignment vertical="center"/>
    </xf>
    <xf numFmtId="0" fontId="7" fillId="0" borderId="36" xfId="0" applyFont="1" applyFill="1" applyBorder="1" applyAlignment="1">
      <alignment horizontal="center" vertical="center"/>
    </xf>
    <xf numFmtId="0" fontId="7" fillId="0" borderId="37" xfId="0" applyFont="1" applyFill="1" applyBorder="1" applyAlignment="1">
      <alignment horizontal="center" vertical="center"/>
    </xf>
    <xf numFmtId="0" fontId="7" fillId="0" borderId="38" xfId="0" applyFont="1" applyFill="1" applyBorder="1" applyAlignment="1">
      <alignment horizontal="center" vertical="center"/>
    </xf>
    <xf numFmtId="0" fontId="7" fillId="0" borderId="39" xfId="0" applyFont="1" applyFill="1" applyBorder="1" applyAlignment="1">
      <alignment horizontal="center" vertical="center"/>
    </xf>
    <xf numFmtId="0" fontId="6" fillId="4" borderId="40" xfId="0" applyFont="1" applyFill="1" applyBorder="1" applyAlignment="1">
      <alignment horizontal="center" vertical="center"/>
    </xf>
    <xf numFmtId="0" fontId="6" fillId="4" borderId="4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0" fontId="3" fillId="5" borderId="47" xfId="0" applyFont="1" applyFill="1" applyBorder="1" applyAlignment="1">
      <alignment horizontal="center" vertical="center"/>
    </xf>
    <xf numFmtId="0" fontId="3" fillId="5" borderId="46" xfId="0" applyFont="1" applyFill="1" applyBorder="1" applyAlignment="1">
      <alignment horizontal="center" vertical="center"/>
    </xf>
    <xf numFmtId="0" fontId="3" fillId="5" borderId="48" xfId="0" applyFont="1" applyFill="1" applyBorder="1" applyAlignment="1">
      <alignment horizontal="center" vertical="center"/>
    </xf>
    <xf numFmtId="0" fontId="3" fillId="5" borderId="49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/>
    </xf>
    <xf numFmtId="0" fontId="3" fillId="7" borderId="56" xfId="0" applyFont="1" applyFill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1" fillId="5" borderId="100" xfId="0" applyFont="1" applyFill="1" applyBorder="1" applyAlignment="1">
      <alignment horizontal="center" vertical="center"/>
    </xf>
    <xf numFmtId="0" fontId="3" fillId="2" borderId="101" xfId="0" applyFont="1" applyFill="1" applyBorder="1" applyAlignment="1">
      <alignment horizontal="center" vertical="center"/>
    </xf>
    <xf numFmtId="0" fontId="3" fillId="7" borderId="101" xfId="0" applyFont="1" applyFill="1" applyBorder="1" applyAlignment="1">
      <alignment horizontal="center" vertical="center"/>
    </xf>
    <xf numFmtId="0" fontId="3" fillId="5" borderId="102" xfId="0" applyFont="1" applyFill="1" applyBorder="1" applyAlignment="1">
      <alignment horizontal="center" vertical="center"/>
    </xf>
    <xf numFmtId="0" fontId="15" fillId="0" borderId="56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 wrapText="1"/>
    </xf>
    <xf numFmtId="0" fontId="15" fillId="3" borderId="56" xfId="0" applyFont="1" applyFill="1" applyBorder="1" applyAlignment="1">
      <alignment horizontal="left" vertical="center" wrapText="1"/>
    </xf>
    <xf numFmtId="0" fontId="15" fillId="3" borderId="1" xfId="0" applyFont="1" applyFill="1" applyBorder="1" applyAlignment="1">
      <alignment horizontal="left" vertical="center" wrapText="1"/>
    </xf>
    <xf numFmtId="0" fontId="15" fillId="3" borderId="8" xfId="0" applyFont="1" applyFill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6" fillId="2" borderId="101" xfId="0" applyFont="1" applyFill="1" applyBorder="1" applyAlignment="1">
      <alignment horizontal="center" vertical="center"/>
    </xf>
    <xf numFmtId="0" fontId="16" fillId="7" borderId="101" xfId="0" applyFont="1" applyFill="1" applyBorder="1" applyAlignment="1">
      <alignment horizontal="center" vertical="center"/>
    </xf>
    <xf numFmtId="0" fontId="16" fillId="7" borderId="56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16" fillId="7" borderId="8" xfId="0" applyFont="1" applyFill="1" applyBorder="1" applyAlignment="1">
      <alignment horizontal="center" vertical="center"/>
    </xf>
    <xf numFmtId="0" fontId="16" fillId="7" borderId="3" xfId="0" applyFont="1" applyFill="1" applyBorder="1" applyAlignment="1">
      <alignment horizontal="center" vertical="center"/>
    </xf>
    <xf numFmtId="0" fontId="8" fillId="5" borderId="101" xfId="0" applyFont="1" applyFill="1" applyBorder="1" applyAlignment="1">
      <alignment horizontal="center" vertical="center"/>
    </xf>
    <xf numFmtId="0" fontId="10" fillId="0" borderId="10" xfId="0" applyFont="1" applyBorder="1" applyAlignment="1">
      <alignment wrapText="1"/>
    </xf>
    <xf numFmtId="0" fontId="0" fillId="0" borderId="0" xfId="0" applyProtection="1">
      <alignment vertical="center"/>
    </xf>
    <xf numFmtId="0" fontId="2" fillId="0" borderId="0" xfId="0" applyFont="1" applyProtection="1">
      <alignment vertical="center"/>
    </xf>
    <xf numFmtId="0" fontId="11" fillId="5" borderId="100" xfId="0" applyFont="1" applyFill="1" applyBorder="1" applyAlignment="1" applyProtection="1">
      <alignment horizontal="center" vertical="center"/>
    </xf>
    <xf numFmtId="0" fontId="16" fillId="2" borderId="101" xfId="0" applyFont="1" applyFill="1" applyBorder="1" applyAlignment="1" applyProtection="1">
      <alignment horizontal="center" vertical="center"/>
    </xf>
    <xf numFmtId="0" fontId="16" fillId="7" borderId="101" xfId="0" applyFont="1" applyFill="1" applyBorder="1" applyAlignment="1" applyProtection="1">
      <alignment horizontal="center" vertical="center"/>
    </xf>
    <xf numFmtId="0" fontId="8" fillId="5" borderId="101" xfId="0" applyFont="1" applyFill="1" applyBorder="1" applyAlignment="1" applyProtection="1">
      <alignment horizontal="center" vertical="center"/>
    </xf>
    <xf numFmtId="0" fontId="3" fillId="5" borderId="102" xfId="0" applyFont="1" applyFill="1" applyBorder="1" applyAlignment="1" applyProtection="1">
      <alignment horizontal="center" vertical="center"/>
    </xf>
    <xf numFmtId="0" fontId="3" fillId="5" borderId="46" xfId="0" applyFont="1" applyFill="1" applyBorder="1" applyAlignment="1" applyProtection="1">
      <alignment horizontal="center" vertical="center"/>
    </xf>
    <xf numFmtId="0" fontId="3" fillId="5" borderId="49" xfId="0" applyFont="1" applyFill="1" applyBorder="1" applyAlignment="1" applyProtection="1">
      <alignment horizontal="center" vertical="center"/>
    </xf>
    <xf numFmtId="0" fontId="3" fillId="5" borderId="48" xfId="0" applyFont="1" applyFill="1" applyBorder="1" applyAlignment="1" applyProtection="1">
      <alignment horizontal="center" vertical="center"/>
    </xf>
    <xf numFmtId="0" fontId="3" fillId="5" borderId="47" xfId="0" applyFont="1" applyFill="1" applyBorder="1" applyAlignment="1" applyProtection="1">
      <alignment horizontal="center" vertical="center"/>
    </xf>
    <xf numFmtId="0" fontId="12" fillId="0" borderId="53" xfId="0" applyFont="1" applyBorder="1" applyAlignment="1" applyProtection="1">
      <alignment horizontal="center" vertical="center"/>
    </xf>
    <xf numFmtId="0" fontId="16" fillId="7" borderId="56" xfId="0" applyFont="1" applyFill="1" applyBorder="1" applyAlignment="1" applyProtection="1">
      <alignment horizontal="center" vertical="center"/>
    </xf>
    <xf numFmtId="0" fontId="15" fillId="0" borderId="56" xfId="0" applyFont="1" applyBorder="1" applyAlignment="1" applyProtection="1">
      <alignment horizontal="left" vertical="center" wrapText="1"/>
    </xf>
    <xf numFmtId="0" fontId="3" fillId="2" borderId="14" xfId="0" applyFont="1" applyFill="1" applyBorder="1" applyAlignment="1" applyProtection="1">
      <alignment horizontal="center" vertical="center"/>
    </xf>
    <xf numFmtId="0" fontId="5" fillId="0" borderId="2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center" vertical="center"/>
    </xf>
    <xf numFmtId="0" fontId="6" fillId="4" borderId="40" xfId="0" applyFont="1" applyFill="1" applyBorder="1" applyAlignment="1" applyProtection="1">
      <alignment horizontal="center" vertical="center"/>
    </xf>
    <xf numFmtId="0" fontId="2" fillId="0" borderId="0" xfId="0" applyFont="1" applyBorder="1" applyProtection="1">
      <alignment vertical="center"/>
    </xf>
    <xf numFmtId="0" fontId="3" fillId="7" borderId="19" xfId="0" applyFont="1" applyFill="1" applyBorder="1" applyAlignment="1" applyProtection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</xf>
    <xf numFmtId="0" fontId="7" fillId="0" borderId="44" xfId="0" applyFont="1" applyFill="1" applyBorder="1" applyAlignment="1" applyProtection="1">
      <alignment horizontal="center" vertical="center"/>
    </xf>
    <xf numFmtId="0" fontId="6" fillId="4" borderId="42" xfId="0" applyFont="1" applyFill="1" applyBorder="1" applyAlignment="1" applyProtection="1">
      <alignment horizontal="center" vertical="center"/>
    </xf>
    <xf numFmtId="0" fontId="12" fillId="0" borderId="5" xfId="0" applyFont="1" applyBorder="1" applyAlignment="1" applyProtection="1">
      <alignment horizontal="center" vertical="center"/>
    </xf>
    <xf numFmtId="0" fontId="16" fillId="7" borderId="1" xfId="0" applyFont="1" applyFill="1" applyBorder="1" applyAlignment="1" applyProtection="1">
      <alignment horizontal="center" vertical="center"/>
    </xf>
    <xf numFmtId="0" fontId="15" fillId="0" borderId="1" xfId="0" applyFont="1" applyBorder="1" applyAlignment="1" applyProtection="1">
      <alignment horizontal="left" vertical="center" wrapText="1"/>
    </xf>
    <xf numFmtId="0" fontId="3" fillId="2" borderId="15" xfId="0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 vertical="center"/>
    </xf>
    <xf numFmtId="0" fontId="7" fillId="0" borderId="37" xfId="0" applyFont="1" applyFill="1" applyBorder="1" applyAlignment="1" applyProtection="1">
      <alignment horizontal="center" vertical="center"/>
    </xf>
    <xf numFmtId="0" fontId="6" fillId="4" borderId="41" xfId="0" applyFont="1" applyFill="1" applyBorder="1" applyAlignment="1" applyProtection="1">
      <alignment horizontal="center" vertical="center"/>
    </xf>
    <xf numFmtId="0" fontId="3" fillId="7" borderId="19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5" fillId="0" borderId="5" xfId="0" applyFont="1" applyFill="1" applyBorder="1" applyAlignment="1" applyProtection="1">
      <alignment horizontal="center" vertical="center"/>
    </xf>
    <xf numFmtId="0" fontId="7" fillId="0" borderId="38" xfId="0" applyFont="1" applyFill="1" applyBorder="1" applyAlignment="1" applyProtection="1">
      <alignment horizontal="center" vertical="center"/>
    </xf>
    <xf numFmtId="0" fontId="12" fillId="0" borderId="7" xfId="0" applyFont="1" applyBorder="1" applyAlignment="1" applyProtection="1">
      <alignment horizontal="center" vertical="center"/>
    </xf>
    <xf numFmtId="0" fontId="16" fillId="7" borderId="8" xfId="0" applyFont="1" applyFill="1" applyBorder="1" applyAlignment="1" applyProtection="1">
      <alignment horizontal="center" vertical="center"/>
    </xf>
    <xf numFmtId="0" fontId="15" fillId="0" borderId="8" xfId="0" applyFont="1" applyBorder="1" applyAlignment="1" applyProtection="1">
      <alignment horizontal="left" vertical="center" wrapText="1"/>
    </xf>
    <xf numFmtId="0" fontId="3" fillId="2" borderId="13" xfId="0" applyFont="1" applyFill="1" applyBorder="1" applyAlignment="1" applyProtection="1">
      <alignment horizontal="center" vertical="center" wrapText="1"/>
    </xf>
    <xf numFmtId="0" fontId="5" fillId="0" borderId="17" xfId="0" applyFont="1" applyFill="1" applyBorder="1" applyAlignment="1" applyProtection="1">
      <alignment horizontal="center" vertical="center" wrapText="1"/>
    </xf>
    <xf numFmtId="0" fontId="7" fillId="0" borderId="39" xfId="0" applyFont="1" applyFill="1" applyBorder="1" applyAlignment="1" applyProtection="1">
      <alignment horizontal="center" vertical="center"/>
    </xf>
    <xf numFmtId="0" fontId="6" fillId="4" borderId="43" xfId="0" applyFont="1" applyFill="1" applyBorder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center" vertical="center" wrapText="1"/>
    </xf>
    <xf numFmtId="0" fontId="5" fillId="0" borderId="18" xfId="0" applyFont="1" applyFill="1" applyBorder="1" applyAlignment="1" applyProtection="1">
      <alignment horizontal="center" vertical="center" wrapText="1"/>
    </xf>
    <xf numFmtId="0" fontId="7" fillId="0" borderId="45" xfId="0" applyFont="1" applyFill="1" applyBorder="1" applyAlignment="1" applyProtection="1">
      <alignment horizontal="center" vertical="center"/>
    </xf>
    <xf numFmtId="0" fontId="12" fillId="3" borderId="2" xfId="0" applyFont="1" applyFill="1" applyBorder="1" applyAlignment="1" applyProtection="1">
      <alignment horizontal="center" vertical="center"/>
    </xf>
    <xf numFmtId="0" fontId="16" fillId="7" borderId="3" xfId="0" applyFont="1" applyFill="1" applyBorder="1" applyAlignment="1" applyProtection="1">
      <alignment horizontal="center" vertical="center"/>
    </xf>
    <xf numFmtId="0" fontId="15" fillId="3" borderId="56" xfId="0" applyFont="1" applyFill="1" applyBorder="1" applyAlignment="1" applyProtection="1">
      <alignment horizontal="left" vertical="center" wrapText="1"/>
    </xf>
    <xf numFmtId="0" fontId="2" fillId="0" borderId="35" xfId="0" applyFont="1" applyBorder="1" applyProtection="1">
      <alignment vertical="center"/>
    </xf>
    <xf numFmtId="0" fontId="12" fillId="3" borderId="5" xfId="0" applyFont="1" applyFill="1" applyBorder="1" applyAlignment="1" applyProtection="1">
      <alignment horizontal="center" vertical="center"/>
    </xf>
    <xf numFmtId="0" fontId="15" fillId="3" borderId="1" xfId="0" applyFont="1" applyFill="1" applyBorder="1" applyAlignment="1" applyProtection="1">
      <alignment horizontal="left" vertical="center" wrapText="1"/>
    </xf>
    <xf numFmtId="0" fontId="12" fillId="3" borderId="7" xfId="0" applyFont="1" applyFill="1" applyBorder="1" applyAlignment="1" applyProtection="1">
      <alignment horizontal="center" vertical="center"/>
    </xf>
    <xf numFmtId="0" fontId="15" fillId="3" borderId="8" xfId="0" applyFont="1" applyFill="1" applyBorder="1" applyAlignment="1" applyProtection="1">
      <alignment horizontal="left" vertical="center" wrapText="1"/>
    </xf>
    <xf numFmtId="0" fontId="12" fillId="0" borderId="2" xfId="0" applyFont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left" vertical="center" wrapText="1"/>
    </xf>
    <xf numFmtId="0" fontId="3" fillId="0" borderId="0" xfId="0" applyFo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center" wrapText="1"/>
    </xf>
    <xf numFmtId="0" fontId="8" fillId="0" borderId="0" xfId="0" applyFont="1" applyFill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top" wrapText="1"/>
    </xf>
    <xf numFmtId="0" fontId="10" fillId="0" borderId="10" xfId="0" applyFont="1" applyBorder="1" applyAlignment="1" applyProtection="1">
      <alignment wrapText="1"/>
    </xf>
    <xf numFmtId="0" fontId="0" fillId="0" borderId="0" xfId="0" applyProtection="1">
      <alignment vertical="center"/>
      <protection locked="0"/>
    </xf>
    <xf numFmtId="0" fontId="2" fillId="0" borderId="58" xfId="0" applyFont="1" applyBorder="1" applyProtection="1">
      <alignment vertical="center"/>
      <protection locked="0"/>
    </xf>
    <xf numFmtId="0" fontId="2" fillId="0" borderId="6" xfId="0" applyFont="1" applyBorder="1" applyProtection="1">
      <alignment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3" borderId="4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2" fillId="3" borderId="9" xfId="0" applyFont="1" applyFill="1" applyBorder="1" applyProtection="1">
      <alignment vertical="center"/>
      <protection locked="0"/>
    </xf>
    <xf numFmtId="0" fontId="2" fillId="0" borderId="4" xfId="0" applyFont="1" applyBorder="1" applyProtection="1">
      <alignment vertical="center"/>
      <protection locked="0"/>
    </xf>
    <xf numFmtId="0" fontId="16" fillId="7" borderId="56" xfId="0" applyFont="1" applyFill="1" applyBorder="1" applyAlignment="1">
      <alignment horizontal="center" vertical="center"/>
    </xf>
    <xf numFmtId="0" fontId="15" fillId="3" borderId="56" xfId="0" applyFont="1" applyFill="1" applyBorder="1" applyAlignment="1">
      <alignment horizontal="left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10" fillId="0" borderId="10" xfId="0" applyFont="1" applyBorder="1" applyAlignment="1" applyProtection="1">
      <alignment horizontal="left" wrapText="1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 vertical="top" wrapText="1"/>
    </xf>
    <xf numFmtId="0" fontId="12" fillId="3" borderId="60" xfId="0" applyFont="1" applyFill="1" applyBorder="1" applyAlignment="1" applyProtection="1">
      <alignment horizontal="center" vertical="center"/>
    </xf>
    <xf numFmtId="0" fontId="12" fillId="3" borderId="53" xfId="0" applyFont="1" applyFill="1" applyBorder="1" applyAlignment="1" applyProtection="1">
      <alignment horizontal="center" vertical="center"/>
    </xf>
    <xf numFmtId="0" fontId="16" fillId="7" borderId="61" xfId="0" applyFont="1" applyFill="1" applyBorder="1" applyAlignment="1" applyProtection="1">
      <alignment horizontal="center" vertical="center"/>
    </xf>
    <xf numFmtId="0" fontId="16" fillId="7" borderId="56" xfId="0" applyFont="1" applyFill="1" applyBorder="1" applyAlignment="1" applyProtection="1">
      <alignment horizontal="center" vertical="center"/>
    </xf>
    <xf numFmtId="0" fontId="15" fillId="3" borderId="61" xfId="0" applyFont="1" applyFill="1" applyBorder="1" applyAlignment="1" applyProtection="1">
      <alignment horizontal="left" vertical="center" wrapText="1"/>
    </xf>
    <xf numFmtId="0" fontId="15" fillId="3" borderId="56" xfId="0" applyFont="1" applyFill="1" applyBorder="1" applyAlignment="1" applyProtection="1">
      <alignment horizontal="left" vertical="center" wrapText="1"/>
    </xf>
    <xf numFmtId="0" fontId="2" fillId="3" borderId="62" xfId="0" applyFont="1" applyFill="1" applyBorder="1" applyAlignment="1" applyProtection="1">
      <alignment horizontal="center" vertical="center"/>
      <protection locked="0"/>
    </xf>
    <xf numFmtId="0" fontId="2" fillId="3" borderId="58" xfId="0" applyFont="1" applyFill="1" applyBorder="1" applyAlignment="1" applyProtection="1">
      <alignment horizontal="center" vertical="center"/>
      <protection locked="0"/>
    </xf>
    <xf numFmtId="0" fontId="15" fillId="0" borderId="96" xfId="0" applyFont="1" applyBorder="1" applyAlignment="1" applyProtection="1">
      <alignment horizontal="left" vertical="top" wrapText="1"/>
      <protection locked="0"/>
    </xf>
    <xf numFmtId="0" fontId="15" fillId="0" borderId="83" xfId="0" applyFont="1" applyBorder="1" applyAlignment="1" applyProtection="1">
      <alignment horizontal="left" vertical="top" wrapText="1"/>
      <protection locked="0"/>
    </xf>
    <xf numFmtId="0" fontId="15" fillId="0" borderId="84" xfId="0" applyFont="1" applyBorder="1" applyAlignment="1" applyProtection="1">
      <alignment horizontal="left" vertical="top" wrapText="1"/>
      <protection locked="0"/>
    </xf>
    <xf numFmtId="0" fontId="15" fillId="0" borderId="97" xfId="0" applyFont="1" applyBorder="1" applyAlignment="1" applyProtection="1">
      <alignment horizontal="left" vertical="top" wrapText="1"/>
      <protection locked="0"/>
    </xf>
    <xf numFmtId="0" fontId="15" fillId="0" borderId="98" xfId="0" applyFont="1" applyBorder="1" applyAlignment="1" applyProtection="1">
      <alignment horizontal="left" vertical="top" wrapText="1"/>
      <protection locked="0"/>
    </xf>
    <xf numFmtId="0" fontId="15" fillId="0" borderId="99" xfId="0" applyFont="1" applyBorder="1" applyAlignment="1" applyProtection="1">
      <alignment horizontal="left" vertical="top" wrapText="1"/>
      <protection locked="0"/>
    </xf>
    <xf numFmtId="0" fontId="12" fillId="3" borderId="17" xfId="0" applyFont="1" applyFill="1" applyBorder="1" applyAlignment="1" applyProtection="1">
      <alignment horizontal="center" vertical="center"/>
    </xf>
    <xf numFmtId="0" fontId="16" fillId="7" borderId="18" xfId="0" applyFont="1" applyFill="1" applyBorder="1" applyAlignment="1" applyProtection="1">
      <alignment horizontal="center" vertical="center"/>
    </xf>
    <xf numFmtId="0" fontId="15" fillId="3" borderId="18" xfId="0" applyFont="1" applyFill="1" applyBorder="1" applyAlignment="1" applyProtection="1">
      <alignment horizontal="left" vertical="center" wrapText="1"/>
    </xf>
    <xf numFmtId="0" fontId="2" fillId="3" borderId="77" xfId="0" applyFont="1" applyFill="1" applyBorder="1" applyAlignment="1" applyProtection="1">
      <alignment horizontal="center" vertical="center"/>
      <protection locked="0"/>
    </xf>
    <xf numFmtId="0" fontId="17" fillId="0" borderId="78" xfId="0" applyFont="1" applyBorder="1" applyAlignment="1" applyProtection="1">
      <alignment horizontal="left" vertical="center" wrapText="1"/>
    </xf>
    <xf numFmtId="0" fontId="17" fillId="0" borderId="92" xfId="0" applyFont="1" applyBorder="1" applyAlignment="1" applyProtection="1">
      <alignment horizontal="left" vertical="center" wrapText="1"/>
    </xf>
    <xf numFmtId="0" fontId="17" fillId="0" borderId="79" xfId="0" applyFont="1" applyBorder="1" applyAlignment="1" applyProtection="1">
      <alignment horizontal="left" vertical="center" wrapText="1"/>
    </xf>
    <xf numFmtId="0" fontId="17" fillId="0" borderId="90" xfId="0" applyFont="1" applyBorder="1" applyAlignment="1" applyProtection="1">
      <alignment horizontal="left" vertical="center" wrapText="1"/>
    </xf>
    <xf numFmtId="0" fontId="2" fillId="0" borderId="91" xfId="0" applyFont="1" applyBorder="1" applyAlignment="1" applyProtection="1">
      <alignment horizontal="center" vertical="center"/>
      <protection locked="0"/>
    </xf>
    <xf numFmtId="0" fontId="2" fillId="0" borderId="93" xfId="0" applyFont="1" applyBorder="1" applyAlignment="1" applyProtection="1">
      <alignment horizontal="center" vertical="center"/>
      <protection locked="0"/>
    </xf>
    <xf numFmtId="0" fontId="17" fillId="0" borderId="94" xfId="0" applyFont="1" applyBorder="1" applyAlignment="1" applyProtection="1">
      <alignment horizontal="left" vertical="center" wrapText="1"/>
    </xf>
    <xf numFmtId="0" fontId="17" fillId="0" borderId="95" xfId="0" applyFont="1" applyBorder="1" applyAlignment="1" applyProtection="1">
      <alignment horizontal="left" vertical="center" wrapText="1"/>
    </xf>
    <xf numFmtId="0" fontId="8" fillId="7" borderId="0" xfId="0" applyFont="1" applyFill="1" applyBorder="1" applyAlignment="1" applyProtection="1">
      <alignment horizontal="center" vertical="center"/>
    </xf>
    <xf numFmtId="0" fontId="2" fillId="0" borderId="81" xfId="0" applyFont="1" applyBorder="1" applyAlignment="1" applyProtection="1">
      <alignment horizontal="center" vertical="center"/>
      <protection locked="0"/>
    </xf>
    <xf numFmtId="0" fontId="2" fillId="0" borderId="85" xfId="0" applyFont="1" applyBorder="1" applyAlignment="1" applyProtection="1">
      <alignment horizontal="center" vertical="center"/>
      <protection locked="0"/>
    </xf>
    <xf numFmtId="0" fontId="17" fillId="0" borderId="82" xfId="0" applyFont="1" applyBorder="1" applyAlignment="1" applyProtection="1">
      <alignment horizontal="left" vertical="center"/>
    </xf>
    <xf numFmtId="0" fontId="17" fillId="0" borderId="83" xfId="0" applyFont="1" applyBorder="1" applyAlignment="1" applyProtection="1">
      <alignment horizontal="left" vertical="center"/>
    </xf>
    <xf numFmtId="0" fontId="17" fillId="0" borderId="84" xfId="0" applyFont="1" applyBorder="1" applyAlignment="1" applyProtection="1">
      <alignment horizontal="left" vertical="center"/>
    </xf>
    <xf numFmtId="0" fontId="17" fillId="0" borderId="59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left" vertical="center"/>
    </xf>
    <xf numFmtId="0" fontId="17" fillId="0" borderId="86" xfId="0" applyFont="1" applyBorder="1" applyAlignment="1" applyProtection="1">
      <alignment horizontal="left" vertical="center"/>
    </xf>
    <xf numFmtId="0" fontId="2" fillId="0" borderId="87" xfId="0" applyFont="1" applyBorder="1" applyAlignment="1" applyProtection="1">
      <alignment horizontal="center" vertical="center"/>
      <protection locked="0"/>
    </xf>
    <xf numFmtId="0" fontId="2" fillId="0" borderId="89" xfId="0" applyFont="1" applyBorder="1" applyAlignment="1" applyProtection="1">
      <alignment horizontal="center" vertical="center"/>
      <protection locked="0"/>
    </xf>
    <xf numFmtId="0" fontId="17" fillId="0" borderId="80" xfId="0" applyFont="1" applyBorder="1" applyAlignment="1" applyProtection="1">
      <alignment horizontal="left" vertical="center"/>
    </xf>
    <xf numFmtId="0" fontId="17" fillId="0" borderId="88" xfId="0" applyFont="1" applyBorder="1" applyAlignment="1" applyProtection="1">
      <alignment horizontal="left" vertical="center"/>
    </xf>
    <xf numFmtId="0" fontId="17" fillId="0" borderId="79" xfId="0" applyFont="1" applyBorder="1" applyAlignment="1" applyProtection="1">
      <alignment horizontal="left" vertical="center"/>
    </xf>
    <xf numFmtId="0" fontId="17" fillId="0" borderId="90" xfId="0" applyFont="1" applyBorder="1" applyAlignment="1" applyProtection="1">
      <alignment horizontal="left" vertical="center"/>
    </xf>
    <xf numFmtId="0" fontId="15" fillId="0" borderId="63" xfId="0" applyFont="1" applyFill="1" applyBorder="1" applyAlignment="1" applyProtection="1">
      <alignment horizontal="left" vertical="top" wrapText="1"/>
      <protection locked="0"/>
    </xf>
    <xf numFmtId="0" fontId="15" fillId="0" borderId="64" xfId="0" applyFont="1" applyFill="1" applyBorder="1" applyAlignment="1" applyProtection="1">
      <alignment horizontal="left" vertical="top" wrapText="1"/>
      <protection locked="0"/>
    </xf>
    <xf numFmtId="0" fontId="15" fillId="0" borderId="65" xfId="0" applyFont="1" applyFill="1" applyBorder="1" applyAlignment="1" applyProtection="1">
      <alignment horizontal="left" vertical="top" wrapText="1"/>
      <protection locked="0"/>
    </xf>
    <xf numFmtId="0" fontId="15" fillId="0" borderId="66" xfId="0" applyFont="1" applyFill="1" applyBorder="1" applyAlignment="1" applyProtection="1">
      <alignment horizontal="left" vertical="top" wrapText="1"/>
      <protection locked="0"/>
    </xf>
    <xf numFmtId="0" fontId="15" fillId="0" borderId="0" xfId="0" applyFont="1" applyFill="1" applyBorder="1" applyAlignment="1" applyProtection="1">
      <alignment horizontal="left" vertical="top" wrapText="1"/>
      <protection locked="0"/>
    </xf>
    <xf numFmtId="0" fontId="15" fillId="0" borderId="67" xfId="0" applyFont="1" applyFill="1" applyBorder="1" applyAlignment="1" applyProtection="1">
      <alignment horizontal="left" vertical="top" wrapText="1"/>
      <protection locked="0"/>
    </xf>
    <xf numFmtId="0" fontId="15" fillId="0" borderId="68" xfId="0" applyFont="1" applyFill="1" applyBorder="1" applyAlignment="1" applyProtection="1">
      <alignment horizontal="left" vertical="top" wrapText="1"/>
      <protection locked="0"/>
    </xf>
    <xf numFmtId="0" fontId="15" fillId="0" borderId="69" xfId="0" applyFont="1" applyFill="1" applyBorder="1" applyAlignment="1" applyProtection="1">
      <alignment horizontal="left" vertical="top" wrapText="1"/>
      <protection locked="0"/>
    </xf>
    <xf numFmtId="0" fontId="15" fillId="0" borderId="70" xfId="0" applyFont="1" applyFill="1" applyBorder="1" applyAlignment="1" applyProtection="1">
      <alignment horizontal="left" vertical="top" wrapText="1"/>
      <protection locked="0"/>
    </xf>
    <xf numFmtId="0" fontId="2" fillId="3" borderId="57" xfId="0" applyFont="1" applyFill="1" applyBorder="1" applyAlignment="1" applyProtection="1">
      <alignment horizontal="center" vertical="center"/>
      <protection locked="0"/>
    </xf>
    <xf numFmtId="0" fontId="2" fillId="3" borderId="51" xfId="0" applyFont="1" applyFill="1" applyBorder="1" applyAlignment="1" applyProtection="1">
      <alignment horizontal="center" vertical="center"/>
      <protection locked="0"/>
    </xf>
    <xf numFmtId="0" fontId="0" fillId="0" borderId="54" xfId="0" applyBorder="1" applyAlignment="1" applyProtection="1">
      <alignment horizontal="center" vertical="center"/>
    </xf>
    <xf numFmtId="0" fontId="12" fillId="3" borderId="16" xfId="0" applyFont="1" applyFill="1" applyBorder="1" applyAlignment="1" applyProtection="1">
      <alignment horizontal="center" vertical="center"/>
    </xf>
    <xf numFmtId="0" fontId="16" fillId="7" borderId="50" xfId="0" applyFont="1" applyFill="1" applyBorder="1" applyAlignment="1" applyProtection="1">
      <alignment horizontal="center" vertical="center"/>
    </xf>
    <xf numFmtId="0" fontId="15" fillId="3" borderId="50" xfId="0" applyFont="1" applyFill="1" applyBorder="1" applyAlignment="1" applyProtection="1">
      <alignment horizontal="left" vertical="center" wrapText="1"/>
    </xf>
    <xf numFmtId="0" fontId="12" fillId="3" borderId="52" xfId="0" applyFont="1" applyFill="1" applyBorder="1" applyAlignment="1" applyProtection="1">
      <alignment horizontal="center" vertical="center"/>
    </xf>
    <xf numFmtId="0" fontId="16" fillId="2" borderId="55" xfId="0" applyFont="1" applyFill="1" applyBorder="1" applyAlignment="1" applyProtection="1">
      <alignment horizontal="center" vertical="center" wrapText="1"/>
    </xf>
    <xf numFmtId="0" fontId="16" fillId="2" borderId="50" xfId="0" applyFont="1" applyFill="1" applyBorder="1" applyAlignment="1" applyProtection="1">
      <alignment horizontal="center" vertical="center" wrapText="1"/>
    </xf>
    <xf numFmtId="0" fontId="16" fillId="2" borderId="18" xfId="0" applyFont="1" applyFill="1" applyBorder="1" applyAlignment="1" applyProtection="1">
      <alignment horizontal="center" vertical="center" wrapText="1"/>
    </xf>
    <xf numFmtId="0" fontId="16" fillId="7" borderId="55" xfId="0" applyFont="1" applyFill="1" applyBorder="1" applyAlignment="1" applyProtection="1">
      <alignment horizontal="center" vertical="center"/>
    </xf>
    <xf numFmtId="0" fontId="15" fillId="3" borderId="55" xfId="0" applyFont="1" applyFill="1" applyBorder="1" applyAlignment="1" applyProtection="1">
      <alignment horizontal="left" vertical="center" wrapText="1"/>
    </xf>
    <xf numFmtId="0" fontId="8" fillId="2" borderId="3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8" xfId="0" applyFont="1" applyFill="1" applyBorder="1" applyAlignment="1" applyProtection="1">
      <alignment horizontal="center" vertical="center"/>
    </xf>
    <xf numFmtId="0" fontId="8" fillId="7" borderId="23" xfId="0" applyFont="1" applyFill="1" applyBorder="1" applyAlignment="1" applyProtection="1">
      <alignment horizontal="center" vertical="center"/>
    </xf>
    <xf numFmtId="0" fontId="8" fillId="7" borderId="24" xfId="0" applyFont="1" applyFill="1" applyBorder="1" applyAlignment="1" applyProtection="1">
      <alignment horizontal="center" vertical="center"/>
    </xf>
    <xf numFmtId="0" fontId="8" fillId="7" borderId="25" xfId="0" applyFont="1" applyFill="1" applyBorder="1" applyAlignment="1" applyProtection="1">
      <alignment horizontal="center" vertical="center"/>
    </xf>
    <xf numFmtId="0" fontId="8" fillId="6" borderId="26" xfId="0" applyFont="1" applyFill="1" applyBorder="1" applyAlignment="1" applyProtection="1">
      <alignment horizontal="center" vertical="center"/>
    </xf>
    <xf numFmtId="0" fontId="8" fillId="6" borderId="27" xfId="0" applyFont="1" applyFill="1" applyBorder="1" applyAlignment="1" applyProtection="1">
      <alignment horizontal="center" vertical="center"/>
    </xf>
    <xf numFmtId="0" fontId="8" fillId="6" borderId="28" xfId="0" applyFont="1" applyFill="1" applyBorder="1" applyAlignment="1" applyProtection="1">
      <alignment horizontal="center" vertical="center"/>
    </xf>
    <xf numFmtId="0" fontId="15" fillId="0" borderId="63" xfId="0" applyFont="1" applyBorder="1" applyAlignment="1" applyProtection="1">
      <alignment horizontal="left" vertical="top" wrapText="1"/>
      <protection locked="0"/>
    </xf>
    <xf numFmtId="0" fontId="15" fillId="0" borderId="64" xfId="0" applyFont="1" applyBorder="1" applyAlignment="1" applyProtection="1">
      <alignment horizontal="left" vertical="top" wrapText="1"/>
      <protection locked="0"/>
    </xf>
    <xf numFmtId="0" fontId="15" fillId="0" borderId="65" xfId="0" applyFont="1" applyBorder="1" applyAlignment="1" applyProtection="1">
      <alignment horizontal="left" vertical="top" wrapText="1"/>
      <protection locked="0"/>
    </xf>
    <xf numFmtId="0" fontId="15" fillId="0" borderId="68" xfId="0" applyFont="1" applyBorder="1" applyAlignment="1" applyProtection="1">
      <alignment horizontal="left" vertical="top" wrapText="1"/>
      <protection locked="0"/>
    </xf>
    <xf numFmtId="0" fontId="15" fillId="0" borderId="69" xfId="0" applyFont="1" applyBorder="1" applyAlignment="1" applyProtection="1">
      <alignment horizontal="left" vertical="top" wrapText="1"/>
      <protection locked="0"/>
    </xf>
    <xf numFmtId="0" fontId="15" fillId="0" borderId="70" xfId="0" applyFont="1" applyBorder="1" applyAlignment="1" applyProtection="1">
      <alignment horizontal="left" vertical="top" wrapText="1"/>
      <protection locked="0"/>
    </xf>
    <xf numFmtId="0" fontId="15" fillId="0" borderId="29" xfId="0" applyFont="1" applyBorder="1" applyAlignment="1" applyProtection="1">
      <alignment horizontal="left" vertical="top"/>
      <protection locked="0"/>
    </xf>
    <xf numFmtId="0" fontId="15" fillId="0" borderId="30" xfId="0" applyFont="1" applyBorder="1" applyAlignment="1" applyProtection="1">
      <alignment horizontal="left" vertical="top"/>
      <protection locked="0"/>
    </xf>
    <xf numFmtId="0" fontId="15" fillId="0" borderId="31" xfId="0" applyFont="1" applyBorder="1" applyAlignment="1" applyProtection="1">
      <alignment horizontal="left" vertical="top"/>
      <protection locked="0"/>
    </xf>
    <xf numFmtId="0" fontId="15" fillId="0" borderId="32" xfId="0" applyFont="1" applyBorder="1" applyAlignment="1" applyProtection="1">
      <alignment horizontal="left" vertical="top"/>
      <protection locked="0"/>
    </xf>
    <xf numFmtId="0" fontId="15" fillId="0" borderId="33" xfId="0" applyFont="1" applyBorder="1" applyAlignment="1" applyProtection="1">
      <alignment horizontal="left" vertical="top"/>
      <protection locked="0"/>
    </xf>
    <xf numFmtId="0" fontId="15" fillId="0" borderId="34" xfId="0" applyFont="1" applyBorder="1" applyAlignment="1" applyProtection="1">
      <alignment horizontal="left" vertical="top"/>
      <protection locked="0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9" fillId="2" borderId="21" xfId="0" applyFont="1" applyFill="1" applyBorder="1" applyAlignment="1" applyProtection="1">
      <alignment horizontal="center" vertical="center"/>
    </xf>
    <xf numFmtId="0" fontId="9" fillId="2" borderId="22" xfId="0" applyFont="1" applyFill="1" applyBorder="1" applyAlignment="1" applyProtection="1">
      <alignment horizontal="center" vertical="center"/>
    </xf>
    <xf numFmtId="0" fontId="15" fillId="0" borderId="71" xfId="0" applyFont="1" applyBorder="1" applyAlignment="1" applyProtection="1">
      <alignment horizontal="left" vertical="top" wrapText="1"/>
      <protection locked="0"/>
    </xf>
    <xf numFmtId="0" fontId="15" fillId="0" borderId="72" xfId="0" applyFont="1" applyBorder="1" applyAlignment="1" applyProtection="1">
      <alignment horizontal="left" vertical="top" wrapText="1"/>
      <protection locked="0"/>
    </xf>
    <xf numFmtId="0" fontId="15" fillId="0" borderId="73" xfId="0" applyFont="1" applyBorder="1" applyAlignment="1" applyProtection="1">
      <alignment horizontal="left" vertical="top" wrapText="1"/>
      <protection locked="0"/>
    </xf>
    <xf numFmtId="0" fontId="15" fillId="0" borderId="74" xfId="0" applyFont="1" applyBorder="1" applyAlignment="1" applyProtection="1">
      <alignment horizontal="left" vertical="top" wrapText="1"/>
      <protection locked="0"/>
    </xf>
    <xf numFmtId="0" fontId="15" fillId="0" borderId="75" xfId="0" applyFont="1" applyBorder="1" applyAlignment="1" applyProtection="1">
      <alignment horizontal="left" vertical="top" wrapText="1"/>
      <protection locked="0"/>
    </xf>
    <xf numFmtId="0" fontId="15" fillId="0" borderId="76" xfId="0" applyFont="1" applyBorder="1" applyAlignment="1" applyProtection="1">
      <alignment horizontal="left" vertical="top" wrapText="1"/>
      <protection locked="0"/>
    </xf>
    <xf numFmtId="0" fontId="13" fillId="0" borderId="0" xfId="0" applyFont="1" applyAlignment="1" applyProtection="1">
      <alignment horizontal="center" vertical="center"/>
    </xf>
    <xf numFmtId="0" fontId="14" fillId="0" borderId="0" xfId="0" applyFont="1" applyAlignment="1" applyProtection="1">
      <alignment horizontal="center" vertical="center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2" xfId="0" applyFont="1" applyFill="1" applyBorder="1" applyAlignment="1" applyProtection="1">
      <alignment horizontal="center" vertical="center"/>
    </xf>
    <xf numFmtId="0" fontId="3" fillId="7" borderId="11" xfId="0" applyFont="1" applyFill="1" applyBorder="1" applyAlignment="1" applyProtection="1">
      <alignment horizontal="center" vertical="center"/>
    </xf>
    <xf numFmtId="0" fontId="3" fillId="7" borderId="12" xfId="0" applyFont="1" applyFill="1" applyBorder="1" applyAlignment="1" applyProtection="1">
      <alignment horizontal="center" vertical="center"/>
    </xf>
    <xf numFmtId="0" fontId="8" fillId="2" borderId="56" xfId="0" applyFont="1" applyFill="1" applyBorder="1" applyAlignment="1" applyProtection="1">
      <alignment horizontal="center" vertic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30" xfId="0" applyFont="1" applyBorder="1" applyAlignment="1" applyProtection="1">
      <alignment horizontal="left" vertical="top" wrapText="1"/>
      <protection locked="0"/>
    </xf>
    <xf numFmtId="0" fontId="15" fillId="0" borderId="31" xfId="0" applyFont="1" applyBorder="1" applyAlignment="1" applyProtection="1">
      <alignment horizontal="left" vertical="top" wrapText="1"/>
      <protection locked="0"/>
    </xf>
    <xf numFmtId="0" fontId="15" fillId="0" borderId="32" xfId="0" applyFont="1" applyBorder="1" applyAlignment="1" applyProtection="1">
      <alignment horizontal="left" vertical="top" wrapText="1"/>
      <protection locked="0"/>
    </xf>
    <xf numFmtId="0" fontId="15" fillId="0" borderId="33" xfId="0" applyFont="1" applyBorder="1" applyAlignment="1" applyProtection="1">
      <alignment horizontal="left" vertical="top" wrapText="1"/>
      <protection locked="0"/>
    </xf>
    <xf numFmtId="0" fontId="15" fillId="0" borderId="34" xfId="0" applyFont="1" applyBorder="1" applyAlignment="1" applyProtection="1">
      <alignment horizontal="left" vertical="top" wrapText="1"/>
      <protection locked="0"/>
    </xf>
    <xf numFmtId="0" fontId="15" fillId="0" borderId="0" xfId="0" applyFont="1" applyBorder="1" applyAlignment="1">
      <alignment horizontal="center" vertical="top" wrapText="1"/>
    </xf>
    <xf numFmtId="0" fontId="12" fillId="3" borderId="60" xfId="0" applyFont="1" applyFill="1" applyBorder="1" applyAlignment="1">
      <alignment horizontal="center" vertical="center"/>
    </xf>
    <xf numFmtId="0" fontId="12" fillId="3" borderId="53" xfId="0" applyFont="1" applyFill="1" applyBorder="1" applyAlignment="1">
      <alignment horizontal="center" vertical="center"/>
    </xf>
    <xf numFmtId="0" fontId="16" fillId="7" borderId="61" xfId="0" applyFont="1" applyFill="1" applyBorder="1" applyAlignment="1">
      <alignment horizontal="center" vertical="center"/>
    </xf>
    <xf numFmtId="0" fontId="16" fillId="7" borderId="56" xfId="0" applyFont="1" applyFill="1" applyBorder="1" applyAlignment="1">
      <alignment horizontal="center" vertical="center"/>
    </xf>
    <xf numFmtId="0" fontId="15" fillId="3" borderId="61" xfId="0" applyFont="1" applyFill="1" applyBorder="1" applyAlignment="1">
      <alignment horizontal="left" vertical="center" wrapText="1"/>
    </xf>
    <xf numFmtId="0" fontId="15" fillId="3" borderId="56" xfId="0" applyFont="1" applyFill="1" applyBorder="1" applyAlignment="1">
      <alignment horizontal="left" vertical="center" wrapText="1"/>
    </xf>
    <xf numFmtId="0" fontId="12" fillId="3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left" vertical="center" wrapText="1"/>
    </xf>
    <xf numFmtId="0" fontId="17" fillId="0" borderId="78" xfId="0" applyFont="1" applyBorder="1" applyAlignment="1">
      <alignment horizontal="left" vertical="center" wrapText="1"/>
    </xf>
    <xf numFmtId="0" fontId="17" fillId="0" borderId="92" xfId="0" applyFont="1" applyBorder="1" applyAlignment="1">
      <alignment horizontal="left" vertical="center" wrapText="1"/>
    </xf>
    <xf numFmtId="0" fontId="17" fillId="0" borderId="79" xfId="0" applyFont="1" applyBorder="1" applyAlignment="1">
      <alignment horizontal="left" vertical="center" wrapText="1"/>
    </xf>
    <xf numFmtId="0" fontId="17" fillId="0" borderId="90" xfId="0" applyFont="1" applyBorder="1" applyAlignment="1">
      <alignment horizontal="left" vertical="center" wrapText="1"/>
    </xf>
    <xf numFmtId="0" fontId="17" fillId="0" borderId="94" xfId="0" applyFont="1" applyBorder="1" applyAlignment="1">
      <alignment horizontal="left" vertical="center" wrapText="1"/>
    </xf>
    <xf numFmtId="0" fontId="17" fillId="0" borderId="95" xfId="0" applyFont="1" applyBorder="1" applyAlignment="1">
      <alignment horizontal="left" vertical="center" wrapText="1"/>
    </xf>
    <xf numFmtId="0" fontId="8" fillId="7" borderId="0" xfId="0" applyFont="1" applyFill="1" applyBorder="1" applyAlignment="1">
      <alignment horizontal="center" vertical="center"/>
    </xf>
    <xf numFmtId="0" fontId="17" fillId="0" borderId="82" xfId="0" applyFont="1" applyBorder="1" applyAlignment="1">
      <alignment horizontal="left" vertical="center"/>
    </xf>
    <xf numFmtId="0" fontId="17" fillId="0" borderId="83" xfId="0" applyFont="1" applyBorder="1" applyAlignment="1">
      <alignment horizontal="left" vertical="center"/>
    </xf>
    <xf numFmtId="0" fontId="17" fillId="0" borderId="84" xfId="0" applyFont="1" applyBorder="1" applyAlignment="1">
      <alignment horizontal="left" vertical="center"/>
    </xf>
    <xf numFmtId="0" fontId="17" fillId="0" borderId="59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86" xfId="0" applyFont="1" applyBorder="1" applyAlignment="1">
      <alignment horizontal="left" vertical="center"/>
    </xf>
    <xf numFmtId="0" fontId="17" fillId="0" borderId="80" xfId="0" applyFont="1" applyBorder="1" applyAlignment="1">
      <alignment horizontal="left" vertical="center"/>
    </xf>
    <xf numFmtId="0" fontId="17" fillId="0" borderId="88" xfId="0" applyFont="1" applyBorder="1" applyAlignment="1">
      <alignment horizontal="left" vertical="center"/>
    </xf>
    <xf numFmtId="0" fontId="17" fillId="0" borderId="79" xfId="0" applyFont="1" applyBorder="1" applyAlignment="1">
      <alignment horizontal="left" vertical="center"/>
    </xf>
    <xf numFmtId="0" fontId="17" fillId="0" borderId="90" xfId="0" applyFont="1" applyBorder="1" applyAlignment="1">
      <alignment horizontal="left" vertical="center"/>
    </xf>
    <xf numFmtId="0" fontId="21" fillId="0" borderId="63" xfId="0" applyFont="1" applyFill="1" applyBorder="1" applyAlignment="1" applyProtection="1">
      <alignment horizontal="left" vertical="top" wrapText="1"/>
      <protection locked="0"/>
    </xf>
    <xf numFmtId="0" fontId="21" fillId="0" borderId="64" xfId="0" applyFont="1" applyFill="1" applyBorder="1" applyAlignment="1" applyProtection="1">
      <alignment horizontal="left" vertical="top" wrapText="1"/>
      <protection locked="0"/>
    </xf>
    <xf numFmtId="0" fontId="21" fillId="0" borderId="65" xfId="0" applyFont="1" applyFill="1" applyBorder="1" applyAlignment="1" applyProtection="1">
      <alignment horizontal="left" vertical="top" wrapText="1"/>
      <protection locked="0"/>
    </xf>
    <xf numFmtId="0" fontId="21" fillId="0" borderId="66" xfId="0" applyFont="1" applyFill="1" applyBorder="1" applyAlignment="1" applyProtection="1">
      <alignment horizontal="left" vertical="top" wrapText="1"/>
      <protection locked="0"/>
    </xf>
    <xf numFmtId="0" fontId="21" fillId="0" borderId="0" xfId="0" applyFont="1" applyFill="1" applyBorder="1" applyAlignment="1" applyProtection="1">
      <alignment horizontal="left" vertical="top" wrapText="1"/>
      <protection locked="0"/>
    </xf>
    <xf numFmtId="0" fontId="21" fillId="0" borderId="67" xfId="0" applyFont="1" applyFill="1" applyBorder="1" applyAlignment="1" applyProtection="1">
      <alignment horizontal="left" vertical="top" wrapText="1"/>
      <protection locked="0"/>
    </xf>
    <xf numFmtId="0" fontId="21" fillId="0" borderId="68" xfId="0" applyFont="1" applyFill="1" applyBorder="1" applyAlignment="1" applyProtection="1">
      <alignment horizontal="left" vertical="top" wrapText="1"/>
      <protection locked="0"/>
    </xf>
    <xf numFmtId="0" fontId="21" fillId="0" borderId="69" xfId="0" applyFont="1" applyFill="1" applyBorder="1" applyAlignment="1" applyProtection="1">
      <alignment horizontal="left" vertical="top" wrapText="1"/>
      <protection locked="0"/>
    </xf>
    <xf numFmtId="0" fontId="21" fillId="0" borderId="70" xfId="0" applyFont="1" applyFill="1" applyBorder="1" applyAlignment="1" applyProtection="1">
      <alignment horizontal="left" vertical="top" wrapText="1"/>
      <protection locked="0"/>
    </xf>
    <xf numFmtId="0" fontId="0" fillId="0" borderId="54" xfId="0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6" fillId="7" borderId="50" xfId="0" applyFont="1" applyFill="1" applyBorder="1" applyAlignment="1">
      <alignment horizontal="center" vertical="center"/>
    </xf>
    <xf numFmtId="0" fontId="15" fillId="3" borderId="50" xfId="0" applyFont="1" applyFill="1" applyBorder="1" applyAlignment="1">
      <alignment horizontal="left" vertical="center" wrapText="1"/>
    </xf>
    <xf numFmtId="0" fontId="12" fillId="3" borderId="52" xfId="0" applyFont="1" applyFill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 wrapText="1"/>
    </xf>
    <xf numFmtId="0" fontId="8" fillId="2" borderId="50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16" fillId="7" borderId="55" xfId="0" applyFont="1" applyFill="1" applyBorder="1" applyAlignment="1">
      <alignment horizontal="center" vertical="center"/>
    </xf>
    <xf numFmtId="0" fontId="15" fillId="3" borderId="55" xfId="0" applyFont="1" applyFill="1" applyBorder="1" applyAlignment="1" applyProtection="1">
      <alignment horizontal="left" vertical="center" wrapText="1"/>
      <protection locked="0"/>
    </xf>
    <xf numFmtId="0" fontId="15" fillId="3" borderId="50" xfId="0" applyFont="1" applyFill="1" applyBorder="1" applyAlignment="1" applyProtection="1">
      <alignment horizontal="left" vertical="center" wrapText="1"/>
      <protection locked="0"/>
    </xf>
    <xf numFmtId="0" fontId="15" fillId="3" borderId="56" xfId="0" applyFont="1" applyFill="1" applyBorder="1" applyAlignment="1" applyProtection="1">
      <alignment horizontal="left" vertical="center" wrapText="1"/>
      <protection locked="0"/>
    </xf>
    <xf numFmtId="0" fontId="8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6" borderId="26" xfId="0" applyFont="1" applyFill="1" applyBorder="1" applyAlignment="1">
      <alignment horizontal="center" vertical="center"/>
    </xf>
    <xf numFmtId="0" fontId="8" fillId="6" borderId="27" xfId="0" applyFon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8" fillId="2" borderId="56" xfId="0" applyFont="1" applyFill="1" applyBorder="1" applyAlignment="1">
      <alignment horizontal="center" vertical="center"/>
    </xf>
    <xf numFmtId="0" fontId="16" fillId="2" borderId="55" xfId="0" applyFont="1" applyFill="1" applyBorder="1" applyAlignment="1">
      <alignment horizontal="center" vertical="center" wrapText="1"/>
    </xf>
    <xf numFmtId="0" fontId="16" fillId="2" borderId="50" xfId="0" applyFont="1" applyFill="1" applyBorder="1" applyAlignment="1">
      <alignment horizontal="center" vertical="center" wrapText="1"/>
    </xf>
    <xf numFmtId="0" fontId="16" fillId="2" borderId="18" xfId="0" applyFont="1" applyFill="1" applyBorder="1" applyAlignment="1">
      <alignment horizontal="center" vertical="center" wrapText="1"/>
    </xf>
    <xf numFmtId="0" fontId="15" fillId="3" borderId="55" xfId="0" applyFont="1" applyFill="1" applyBorder="1" applyAlignment="1">
      <alignment horizontal="left" vertical="center" wrapText="1"/>
    </xf>
    <xf numFmtId="0" fontId="3" fillId="7" borderId="61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vertical="center"/>
    </xf>
    <xf numFmtId="0" fontId="3" fillId="7" borderId="56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0" fontId="3" fillId="2" borderId="55" xfId="0" applyFont="1" applyFill="1" applyBorder="1" applyAlignment="1">
      <alignment horizontal="center" vertical="center" wrapText="1"/>
    </xf>
    <xf numFmtId="0" fontId="3" fillId="2" borderId="5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3" fillId="7" borderId="55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21" fillId="0" borderId="63" xfId="0" applyFont="1" applyBorder="1" applyAlignment="1" applyProtection="1">
      <alignment horizontal="left" vertical="top" wrapText="1"/>
      <protection locked="0"/>
    </xf>
    <xf numFmtId="0" fontId="21" fillId="0" borderId="64" xfId="0" applyFont="1" applyBorder="1" applyAlignment="1" applyProtection="1">
      <alignment horizontal="left" vertical="top" wrapText="1"/>
      <protection locked="0"/>
    </xf>
    <xf numFmtId="0" fontId="21" fillId="0" borderId="65" xfId="0" applyFont="1" applyBorder="1" applyAlignment="1" applyProtection="1">
      <alignment horizontal="left" vertical="top" wrapText="1"/>
      <protection locked="0"/>
    </xf>
    <xf numFmtId="0" fontId="21" fillId="0" borderId="68" xfId="0" applyFont="1" applyBorder="1" applyAlignment="1" applyProtection="1">
      <alignment horizontal="left" vertical="top" wrapText="1"/>
      <protection locked="0"/>
    </xf>
    <xf numFmtId="0" fontId="21" fillId="0" borderId="69" xfId="0" applyFont="1" applyBorder="1" applyAlignment="1" applyProtection="1">
      <alignment horizontal="left" vertical="top" wrapText="1"/>
      <protection locked="0"/>
    </xf>
    <xf numFmtId="0" fontId="21" fillId="0" borderId="70" xfId="0" applyFont="1" applyBorder="1" applyAlignment="1" applyProtection="1">
      <alignment horizontal="left" vertical="top" wrapText="1"/>
      <protection locked="0"/>
    </xf>
    <xf numFmtId="0" fontId="3" fillId="2" borderId="56" xfId="0" applyFont="1" applyFill="1" applyBorder="1" applyAlignment="1">
      <alignment horizontal="center" vertical="center"/>
    </xf>
    <xf numFmtId="0" fontId="15" fillId="0" borderId="96" xfId="0" applyFont="1" applyBorder="1" applyAlignment="1" applyProtection="1">
      <alignment horizontal="left" vertical="top"/>
      <protection locked="0"/>
    </xf>
    <xf numFmtId="0" fontId="15" fillId="0" borderId="83" xfId="0" applyFont="1" applyBorder="1" applyAlignment="1" applyProtection="1">
      <alignment horizontal="left" vertical="top"/>
      <protection locked="0"/>
    </xf>
    <xf numFmtId="0" fontId="15" fillId="0" borderId="84" xfId="0" applyFont="1" applyBorder="1" applyAlignment="1" applyProtection="1">
      <alignment horizontal="left" vertical="top"/>
      <protection locked="0"/>
    </xf>
    <xf numFmtId="0" fontId="15" fillId="0" borderId="97" xfId="0" applyFont="1" applyBorder="1" applyAlignment="1" applyProtection="1">
      <alignment horizontal="left" vertical="top"/>
      <protection locked="0"/>
    </xf>
    <xf numFmtId="0" fontId="15" fillId="0" borderId="98" xfId="0" applyFont="1" applyBorder="1" applyAlignment="1" applyProtection="1">
      <alignment horizontal="left" vertical="top"/>
      <protection locked="0"/>
    </xf>
    <xf numFmtId="0" fontId="15" fillId="0" borderId="99" xfId="0" applyFont="1" applyBorder="1" applyAlignment="1" applyProtection="1">
      <alignment horizontal="left" vertical="top"/>
      <protection locked="0"/>
    </xf>
    <xf numFmtId="0" fontId="16" fillId="2" borderId="3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57D3FF"/>
      <color rgb="FFFF4343"/>
      <color rgb="FFFF2F2F"/>
      <color rgb="FFCCCC00"/>
      <color rgb="FF0099CC"/>
      <color rgb="FFFF0066"/>
      <color rgb="FF0066CC"/>
      <color rgb="FFFF6600"/>
      <color rgb="FF934BC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62962962962964"/>
          <c:y val="0.1655621997721983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製造業編!$M$12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製造業編!$J$13:$J$16</c:f>
              <c:strCache>
                <c:ptCount val="4"/>
                <c:pt idx="0">
                  <c:v>仕入</c:v>
                </c:pt>
                <c:pt idx="1">
                  <c:v>製造</c:v>
                </c:pt>
                <c:pt idx="2">
                  <c:v>販売</c:v>
                </c:pt>
                <c:pt idx="3">
                  <c:v>アフター
サービス</c:v>
                </c:pt>
              </c:strCache>
            </c:strRef>
          </c:cat>
          <c:val>
            <c:numRef>
              <c:f>製造業編!$M$13:$M$16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3-4C4C-A90D-B3A983681F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製造業編!$L$12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製造業編!$J$13:$J$16</c15:sqref>
                        </c15:formulaRef>
                      </c:ext>
                    </c:extLst>
                    <c:strCache>
                      <c:ptCount val="4"/>
                      <c:pt idx="0">
                        <c:v>仕入</c:v>
                      </c:pt>
                      <c:pt idx="1">
                        <c:v>製造</c:v>
                      </c:pt>
                      <c:pt idx="2">
                        <c:v>販売</c:v>
                      </c:pt>
                      <c:pt idx="3">
                        <c:v>アフター
サービス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製造業編!$L$13:$L$16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483-4C4C-A90D-B3A983681F86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製造業編!$R$12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製造業編!$O$13:$O$16</c:f>
              <c:strCache>
                <c:ptCount val="4"/>
                <c:pt idx="0">
                  <c:v>人材・組織</c:v>
                </c:pt>
                <c:pt idx="1">
                  <c:v>設備・製品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製造業編!$R$13:$R$16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8-4E84-BE31-7E82F9FB271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製造業編!$Q$12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製造業編!$O$13:$O$16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設備・製品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製造業編!$Q$13:$Q$16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88-4E84-BE31-7E82F9FB271C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62962962962964"/>
          <c:y val="0.1655621997721983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卸売業編!$M$12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卸売業編!$J$13:$J$16</c:f>
              <c:strCache>
                <c:ptCount val="4"/>
                <c:pt idx="0">
                  <c:v>企画</c:v>
                </c:pt>
                <c:pt idx="1">
                  <c:v>仕入</c:v>
                </c:pt>
                <c:pt idx="2">
                  <c:v>流通</c:v>
                </c:pt>
                <c:pt idx="3">
                  <c:v>販売</c:v>
                </c:pt>
              </c:strCache>
            </c:strRef>
          </c:cat>
          <c:val>
            <c:numRef>
              <c:f>卸売業編!$M$13:$M$16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41-4111-A76F-7F859578DF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卸売業編!$L$12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卸売業編!$J$13:$J$16</c15:sqref>
                        </c15:formulaRef>
                      </c:ext>
                    </c:extLst>
                    <c:strCache>
                      <c:ptCount val="4"/>
                      <c:pt idx="0">
                        <c:v>企画</c:v>
                      </c:pt>
                      <c:pt idx="1">
                        <c:v>仕入</c:v>
                      </c:pt>
                      <c:pt idx="2">
                        <c:v>流通</c:v>
                      </c:pt>
                      <c:pt idx="3">
                        <c:v>販売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卸売業編!$L$13:$L$16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1541-4111-A76F-7F859578DF8B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卸売業編!$R$12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卸売業編!$O$13:$O$16</c:f>
              <c:strCache>
                <c:ptCount val="4"/>
                <c:pt idx="0">
                  <c:v>人材・組織</c:v>
                </c:pt>
                <c:pt idx="1">
                  <c:v>設備・商品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卸売業編!$R$13:$R$16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8-468D-8548-169AE06209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卸売業編!$Q$12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卸売業編!$O$13:$O$16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設備・商品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卸売業編!$Q$13:$Q$16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1A98-468D-8548-169AE0620933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35413880654238"/>
          <c:y val="0.14673613328841026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小売業編!$M$12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小売業編!$J$13:$J$16</c:f>
              <c:strCache>
                <c:ptCount val="4"/>
                <c:pt idx="0">
                  <c:v>企画</c:v>
                </c:pt>
                <c:pt idx="1">
                  <c:v>仕入</c:v>
                </c:pt>
                <c:pt idx="2">
                  <c:v>販売</c:v>
                </c:pt>
                <c:pt idx="3">
                  <c:v>アフター
サービス</c:v>
                </c:pt>
              </c:strCache>
            </c:strRef>
          </c:cat>
          <c:val>
            <c:numRef>
              <c:f>小売業編!$M$13:$M$16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6F-4820-B2D3-368BB8B8D1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小売業編!$L$12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小売業編!$J$13:$J$16</c15:sqref>
                        </c15:formulaRef>
                      </c:ext>
                    </c:extLst>
                    <c:strCache>
                      <c:ptCount val="4"/>
                      <c:pt idx="0">
                        <c:v>企画</c:v>
                      </c:pt>
                      <c:pt idx="1">
                        <c:v>仕入</c:v>
                      </c:pt>
                      <c:pt idx="2">
                        <c:v>販売</c:v>
                      </c:pt>
                      <c:pt idx="3">
                        <c:v>アフター
サービス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小売業編!$L$13:$L$16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F6F-4820-B2D3-368BB8B8D1EE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小売業編!$R$12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小売業編!$O$13:$O$16</c:f>
              <c:strCache>
                <c:ptCount val="4"/>
                <c:pt idx="0">
                  <c:v>人材・組織</c:v>
                </c:pt>
                <c:pt idx="1">
                  <c:v>設備・商品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小売業編!$R$13:$R$16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4-42AF-B0E4-4D148336C1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小売業編!$Q$12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小売業編!$O$13:$O$16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設備・商品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小売業編!$Q$13:$Q$16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7C4-42AF-B0E4-4D148336C1E9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62962962962964"/>
          <c:y val="0.1655621997721983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サービス業編!$M$12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サービス業編!$J$13:$J$16</c:f>
              <c:strCache>
                <c:ptCount val="4"/>
                <c:pt idx="0">
                  <c:v>企画</c:v>
                </c:pt>
                <c:pt idx="1">
                  <c:v>販促</c:v>
                </c:pt>
                <c:pt idx="2">
                  <c:v>サービス</c:v>
                </c:pt>
                <c:pt idx="3">
                  <c:v>アフター
サービス</c:v>
                </c:pt>
              </c:strCache>
            </c:strRef>
          </c:cat>
          <c:val>
            <c:numRef>
              <c:f>サービス業編!$M$13:$M$16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9-4032-98F7-1626063807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サービス業編!$L$12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サービス業編!$J$13:$J$16</c15:sqref>
                        </c15:formulaRef>
                      </c:ext>
                    </c:extLst>
                    <c:strCache>
                      <c:ptCount val="4"/>
                      <c:pt idx="0">
                        <c:v>企画</c:v>
                      </c:pt>
                      <c:pt idx="1">
                        <c:v>販促</c:v>
                      </c:pt>
                      <c:pt idx="2">
                        <c:v>サービス</c:v>
                      </c:pt>
                      <c:pt idx="3">
                        <c:v>アフター
サービス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サービス業編!$L$13:$L$16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F079-4032-98F7-1626063807A7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サービス業編!$R$12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サービス業編!$O$13:$O$16</c:f>
              <c:strCache>
                <c:ptCount val="4"/>
                <c:pt idx="0">
                  <c:v>人材・組織</c:v>
                </c:pt>
                <c:pt idx="1">
                  <c:v>設備・
サービス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サービス業編!$R$13:$R$16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E8-48AC-8512-A1E09664D5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サービス業編!$Q$12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サービス業編!$O$13:$O$16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
サービス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サービス業編!$Q$13:$Q$16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FAE8-48AC-8512-A1E09664D56D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62962962962964"/>
          <c:y val="0.1655621997721983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飲食業編!$M$12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飲食業編!$J$13:$J$16</c:f>
              <c:strCache>
                <c:ptCount val="4"/>
                <c:pt idx="0">
                  <c:v>企画</c:v>
                </c:pt>
                <c:pt idx="1">
                  <c:v>仕入</c:v>
                </c:pt>
                <c:pt idx="2">
                  <c:v>調理</c:v>
                </c:pt>
                <c:pt idx="3">
                  <c:v>販売</c:v>
                </c:pt>
              </c:strCache>
            </c:strRef>
          </c:cat>
          <c:val>
            <c:numRef>
              <c:f>飲食業編!$M$13:$M$16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C-485A-A5DA-015744351E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飲食業編!$L$12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飲食業編!$J$13:$J$16</c15:sqref>
                        </c15:formulaRef>
                      </c:ext>
                    </c:extLst>
                    <c:strCache>
                      <c:ptCount val="4"/>
                      <c:pt idx="0">
                        <c:v>企画</c:v>
                      </c:pt>
                      <c:pt idx="1">
                        <c:v>仕入</c:v>
                      </c:pt>
                      <c:pt idx="2">
                        <c:v>調理</c:v>
                      </c:pt>
                      <c:pt idx="3">
                        <c:v>販売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飲食業編!$L$13:$L$16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7C-485A-A5DA-015744351E3D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飲食業編!$R$12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飲食業編!$O$13:$O$16</c:f>
              <c:strCache>
                <c:ptCount val="4"/>
                <c:pt idx="0">
                  <c:v>人材・組織</c:v>
                </c:pt>
                <c:pt idx="1">
                  <c:v>設備・商品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飲食業編!$R$13:$R$16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E2-4575-859D-8C22E15BDB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飲食業編!$Q$12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飲食業編!$O$13:$O$16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設備・商品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飲食業編!$Q$13:$Q$16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6E2-4575-859D-8C22E15BDB8A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62962962962964"/>
          <c:y val="0.1655621997721983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建設業編!$M$12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建設業編!$J$13:$J$16</c:f>
              <c:strCache>
                <c:ptCount val="4"/>
                <c:pt idx="0">
                  <c:v>仕入</c:v>
                </c:pt>
                <c:pt idx="1">
                  <c:v>受注</c:v>
                </c:pt>
                <c:pt idx="2">
                  <c:v>施工</c:v>
                </c:pt>
                <c:pt idx="3">
                  <c:v>アフター
サービス</c:v>
                </c:pt>
              </c:strCache>
            </c:strRef>
          </c:cat>
          <c:val>
            <c:numRef>
              <c:f>建設業編!$M$13:$M$16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51-46F9-AC10-0F8E5998D1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建設業編!$L$12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建設業編!$J$13:$J$16</c15:sqref>
                        </c15:formulaRef>
                      </c:ext>
                    </c:extLst>
                    <c:strCache>
                      <c:ptCount val="4"/>
                      <c:pt idx="0">
                        <c:v>仕入</c:v>
                      </c:pt>
                      <c:pt idx="1">
                        <c:v>受注</c:v>
                      </c:pt>
                      <c:pt idx="2">
                        <c:v>施工</c:v>
                      </c:pt>
                      <c:pt idx="3">
                        <c:v>アフター
サービス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建設業編!$L$13:$L$16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F51-46F9-AC10-0F8E5998D13E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建設業編!$R$12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建設業編!$O$13:$O$16</c:f>
              <c:strCache>
                <c:ptCount val="4"/>
                <c:pt idx="0">
                  <c:v>人材・組織</c:v>
                </c:pt>
                <c:pt idx="1">
                  <c:v>設備・製品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建設業編!$R$13:$R$16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D-4A16-82BC-38B818BA2BC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建設業編!$Q$12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建設業編!$O$13:$O$16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設備・製品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建設業編!$Q$13:$Q$16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92D-4A16-82BC-38B818BA2BCF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62962962962964"/>
          <c:y val="0.1655621997721983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宿泊業編!$M$12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宿泊業編!$J$13:$J$16</c:f>
              <c:strCache>
                <c:ptCount val="4"/>
                <c:pt idx="0">
                  <c:v>企画</c:v>
                </c:pt>
                <c:pt idx="1">
                  <c:v>販促</c:v>
                </c:pt>
                <c:pt idx="2">
                  <c:v>サービス</c:v>
                </c:pt>
                <c:pt idx="3">
                  <c:v>アフター
サービス</c:v>
                </c:pt>
              </c:strCache>
            </c:strRef>
          </c:cat>
          <c:val>
            <c:numRef>
              <c:f>宿泊業編!$M$13:$M$16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32-4204-98FC-4312C0D651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宿泊業編!$L$12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宿泊業編!$J$13:$J$16</c15:sqref>
                        </c15:formulaRef>
                      </c:ext>
                    </c:extLst>
                    <c:strCache>
                      <c:ptCount val="4"/>
                      <c:pt idx="0">
                        <c:v>企画</c:v>
                      </c:pt>
                      <c:pt idx="1">
                        <c:v>販促</c:v>
                      </c:pt>
                      <c:pt idx="2">
                        <c:v>サービス</c:v>
                      </c:pt>
                      <c:pt idx="3">
                        <c:v>アフター
サービス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宿泊業編!$L$13:$L$16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D32-4204-98FC-4312C0D65106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宿泊業編!$R$12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宿泊業編!$O$13:$O$16</c:f>
              <c:strCache>
                <c:ptCount val="4"/>
                <c:pt idx="0">
                  <c:v>人材・組織</c:v>
                </c:pt>
                <c:pt idx="1">
                  <c:v>設備・
サービス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宿泊業編!$R$13:$R$16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3-45BA-8281-93AF3F5815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宿泊業編!$Q$12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宿泊業編!$O$13:$O$16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
サービス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宿泊業編!$Q$13:$Q$16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7C3-45BA-8281-93AF3F5815F6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62962962962964"/>
          <c:y val="0.1655621997721983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医療・福祉業編!$M$12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医療・福祉業編!$J$13:$J$16</c:f>
              <c:strCache>
                <c:ptCount val="4"/>
                <c:pt idx="0">
                  <c:v>企画</c:v>
                </c:pt>
                <c:pt idx="1">
                  <c:v>マーケ
ティング</c:v>
                </c:pt>
                <c:pt idx="2">
                  <c:v>サービス</c:v>
                </c:pt>
                <c:pt idx="3">
                  <c:v>顧客管理</c:v>
                </c:pt>
              </c:strCache>
            </c:strRef>
          </c:cat>
          <c:val>
            <c:numRef>
              <c:f>医療・福祉業編!$M$13:$M$16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1D-4DF2-8C67-629ED64F04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医療・福祉業編!$L$12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医療・福祉業編!$J$13:$J$16</c15:sqref>
                        </c15:formulaRef>
                      </c:ext>
                    </c:extLst>
                    <c:strCache>
                      <c:ptCount val="4"/>
                      <c:pt idx="0">
                        <c:v>企画</c:v>
                      </c:pt>
                      <c:pt idx="1">
                        <c:v>マーケ
ティング</c:v>
                      </c:pt>
                      <c:pt idx="2">
                        <c:v>サービス</c:v>
                      </c:pt>
                      <c:pt idx="3">
                        <c:v>顧客管理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医療・福祉業編!$L$13:$L$16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F1D-4DF2-8C67-629ED64F0433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医療・福祉業編!$R$12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医療・福祉業編!$O$13:$O$16</c:f>
              <c:strCache>
                <c:ptCount val="4"/>
                <c:pt idx="0">
                  <c:v>人材・組織</c:v>
                </c:pt>
                <c:pt idx="1">
                  <c:v>設備・
サービス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医療・福祉業編!$R$13:$R$16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5-4642-A225-8C1CEA0955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医療・福祉業編!$Q$12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医療・福祉業編!$O$13:$O$16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
サービス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医療・福祉業編!$Q$13:$Q$16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915-4642-A225-8C1CEA0955E9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見える化①</a:t>
            </a:r>
          </a:p>
        </c:rich>
      </c:tx>
      <c:layout>
        <c:manualLayout>
          <c:xMode val="edge"/>
          <c:yMode val="edge"/>
          <c:x val="0.37733785360163313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862962962962964"/>
          <c:y val="0.1655621997721983"/>
          <c:w val="0.71940740740740738"/>
          <c:h val="0.61238993710691825"/>
        </c:manualLayout>
      </c:layout>
      <c:radarChart>
        <c:radarStyle val="filled"/>
        <c:varyColors val="0"/>
        <c:ser>
          <c:idx val="1"/>
          <c:order val="1"/>
          <c:tx>
            <c:strRef>
              <c:f>運輸業編!$M$12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6600">
                <a:alpha val="65000"/>
              </a:srgbClr>
            </a:solidFill>
            <a:ln>
              <a:solidFill>
                <a:srgbClr val="FF6600"/>
              </a:solidFill>
            </a:ln>
            <a:effectLst/>
          </c:spPr>
          <c:dLbls>
            <c:delete val="1"/>
          </c:dLbls>
          <c:cat>
            <c:strRef>
              <c:f>運輸業編!$J$13:$J$16</c:f>
              <c:strCache>
                <c:ptCount val="4"/>
                <c:pt idx="0">
                  <c:v>企画</c:v>
                </c:pt>
                <c:pt idx="1">
                  <c:v>販促</c:v>
                </c:pt>
                <c:pt idx="2">
                  <c:v>運送</c:v>
                </c:pt>
                <c:pt idx="3">
                  <c:v>顧客管理</c:v>
                </c:pt>
              </c:strCache>
            </c:strRef>
          </c:cat>
          <c:val>
            <c:numRef>
              <c:f>運輸業編!$M$13:$M$16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1A-4DAE-8925-27212BD722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413448"/>
        <c:axId val="456414760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運輸業編!$L$12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運輸業編!$J$13:$J$16</c15:sqref>
                        </c15:formulaRef>
                      </c:ext>
                    </c:extLst>
                    <c:strCache>
                      <c:ptCount val="4"/>
                      <c:pt idx="0">
                        <c:v>企画</c:v>
                      </c:pt>
                      <c:pt idx="1">
                        <c:v>販促</c:v>
                      </c:pt>
                      <c:pt idx="2">
                        <c:v>運送</c:v>
                      </c:pt>
                      <c:pt idx="3">
                        <c:v>顧客管理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運輸業編!$L$13:$L$16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41A-4DAE-8925-27212BD722BE}"/>
                  </c:ext>
                </c:extLst>
              </c15:ser>
            </c15:filteredRadarSeries>
          </c:ext>
        </c:extLst>
      </c:radarChart>
      <c:catAx>
        <c:axId val="4564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6600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4760"/>
        <c:crosses val="autoZero"/>
        <c:auto val="1"/>
        <c:lblAlgn val="ctr"/>
        <c:lblOffset val="100"/>
        <c:noMultiLvlLbl val="0"/>
      </c:catAx>
      <c:valAx>
        <c:axId val="456414760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456413448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400" b="1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</a:rPr>
              <a:t>見える化②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787562379994671"/>
          <c:y val="0.15711830170469629"/>
          <c:w val="0.68424875240010663"/>
          <c:h val="0.62959033654246488"/>
        </c:manualLayout>
      </c:layout>
      <c:radarChart>
        <c:radarStyle val="filled"/>
        <c:varyColors val="0"/>
        <c:ser>
          <c:idx val="1"/>
          <c:order val="1"/>
          <c:tx>
            <c:strRef>
              <c:f>運輸業編!$R$12</c:f>
              <c:strCache>
                <c:ptCount val="1"/>
                <c:pt idx="0">
                  <c:v>点数</c:v>
                </c:pt>
              </c:strCache>
            </c:strRef>
          </c:tx>
          <c:spPr>
            <a:solidFill>
              <a:srgbClr val="FF00FF">
                <a:alpha val="65000"/>
              </a:srgbClr>
            </a:solidFill>
            <a:ln>
              <a:solidFill>
                <a:srgbClr val="D60093"/>
              </a:solidFill>
            </a:ln>
            <a:effectLst/>
          </c:spPr>
          <c:dLbls>
            <c:delete val="1"/>
          </c:dLbls>
          <c:cat>
            <c:strRef>
              <c:f>運輸業編!$O$13:$O$16</c:f>
              <c:strCache>
                <c:ptCount val="4"/>
                <c:pt idx="0">
                  <c:v>人材・組織</c:v>
                </c:pt>
                <c:pt idx="1">
                  <c:v>設備・
サービス</c:v>
                </c:pt>
                <c:pt idx="2">
                  <c:v>資金</c:v>
                </c:pt>
                <c:pt idx="3">
                  <c:v>情報</c:v>
                </c:pt>
              </c:strCache>
            </c:strRef>
          </c:cat>
          <c:val>
            <c:numRef>
              <c:f>運輸業編!$R$13:$R$16</c:f>
              <c:numCache>
                <c:formatCode>General</c:formatCode>
                <c:ptCount val="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3-4DDF-9A3B-5DB1A42296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1354304"/>
        <c:axId val="1241355944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運輸業編!$Q$12</c15:sqref>
                        </c15:formulaRef>
                      </c:ext>
                    </c:extLst>
                    <c:strCache>
                      <c:ptCount val="1"/>
                      <c:pt idx="0">
                        <c:v>チェック数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ja-JP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運輸業編!$O$13:$O$16</c15:sqref>
                        </c15:formulaRef>
                      </c:ext>
                    </c:extLst>
                    <c:strCache>
                      <c:ptCount val="4"/>
                      <c:pt idx="0">
                        <c:v>人材・組織</c:v>
                      </c:pt>
                      <c:pt idx="1">
                        <c:v>設備・
サービス</c:v>
                      </c:pt>
                      <c:pt idx="2">
                        <c:v>資金</c:v>
                      </c:pt>
                      <c:pt idx="3">
                        <c:v>情報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運輸業編!$Q$13:$Q$16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DF3-4DDF-9A3B-5DB1A42296C9}"/>
                  </c:ext>
                </c:extLst>
              </c15:ser>
            </c15:filteredRadarSeries>
          </c:ext>
        </c:extLst>
      </c:radarChart>
      <c:catAx>
        <c:axId val="124135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00FF"/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5944"/>
        <c:crosses val="autoZero"/>
        <c:auto val="1"/>
        <c:lblAlgn val="ctr"/>
        <c:lblOffset val="100"/>
        <c:noMultiLvlLbl val="0"/>
      </c:catAx>
      <c:valAx>
        <c:axId val="1241355944"/>
        <c:scaling>
          <c:orientation val="minMax"/>
          <c:max val="8"/>
          <c:min val="-2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=-2]&quot;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G丸ｺﾞｼｯｸM-PRO" panose="020F0600000000000000" pitchFamily="50" charset="-128"/>
                <a:ea typeface="HG丸ｺﾞｼｯｸM-PRO" panose="020F0600000000000000" pitchFamily="50" charset="-128"/>
                <a:cs typeface="+mn-cs"/>
              </a:defRPr>
            </a:pPr>
            <a:endParaRPr lang="ja-JP"/>
          </a:p>
        </c:txPr>
        <c:crossAx val="1241354304"/>
        <c:crosses val="autoZero"/>
        <c:crossBetween val="between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G$14" lockText="1" noThreeD="1"/>
</file>

<file path=xl/ctrlProps/ctrlProp2.xml><?xml version="1.0" encoding="utf-8"?>
<formControlPr xmlns="http://schemas.microsoft.com/office/spreadsheetml/2009/9/main" objectType="CheckBox" fmlaLink="$G$15" lockText="1" noThreeD="1"/>
</file>

<file path=xl/ctrlProps/ctrlProp3.xml><?xml version="1.0" encoding="utf-8"?>
<formControlPr xmlns="http://schemas.microsoft.com/office/spreadsheetml/2009/9/main" objectType="CheckBox" fmlaLink="$G$16" lockText="1" noThreeD="1"/>
</file>

<file path=xl/ctrlProps/ctrlProp4.xml><?xml version="1.0" encoding="utf-8"?>
<formControlPr xmlns="http://schemas.microsoft.com/office/spreadsheetml/2009/9/main" objectType="CheckBox" fmlaLink="$G$17" lockText="1" noThreeD="1"/>
</file>

<file path=xl/ctrlProps/ctrlProp5.xml><?xml version="1.0" encoding="utf-8"?>
<formControlPr xmlns="http://schemas.microsoft.com/office/spreadsheetml/2009/9/main" objectType="CheckBox" fmlaLink="$G$18" lockText="1" noThreeD="1"/>
</file>

<file path=xl/ctrlProps/ctrlProp6.xml><?xml version="1.0" encoding="utf-8"?>
<formControlPr xmlns="http://schemas.microsoft.com/office/spreadsheetml/2009/9/main" objectType="CheckBox" fmlaLink="$G$19" lockText="1" noThreeD="1"/>
</file>

<file path=xl/ctrlProps/ctrlProp7.xml><?xml version="1.0" encoding="utf-8"?>
<formControlPr xmlns="http://schemas.microsoft.com/office/spreadsheetml/2009/9/main" objectType="CheckBox" fmlaLink="$G$20" lockText="1" noThreeD="1"/>
</file>

<file path=xl/ctrlProps/ctrlProp8.xml><?xml version="1.0" encoding="utf-8"?>
<formControlPr xmlns="http://schemas.microsoft.com/office/spreadsheetml/2009/9/main" objectType="CheckBox" fmlaLink="$G$21" lockText="1" noThreeD="1"/>
</file>

<file path=xl/ctrlProps/ctrlProp9.xml><?xml version="1.0" encoding="utf-8"?>
<formControlPr xmlns="http://schemas.microsoft.com/office/spreadsheetml/2009/9/main" objectType="CheckBox" fmlaLink="$G$22" lockText="1" noThreeD="1"/>
</file>

<file path=xl/ctrlProps/ctrlProp10.xml><?xml version="1.0" encoding="utf-8"?>
<formControlPr xmlns="http://schemas.microsoft.com/office/spreadsheetml/2009/9/main" objectType="CheckBox" fmlaLink="$G$23" lockText="1" noThreeD="1"/>
</file>

<file path=xl/ctrlProps/ctrlProp11.xml><?xml version="1.0" encoding="utf-8"?>
<formControlPr xmlns="http://schemas.microsoft.com/office/spreadsheetml/2009/9/main" objectType="CheckBox" fmlaLink="$G$24" lockText="1" noThreeD="1"/>
</file>

<file path=xl/ctrlProps/ctrlProp12.xml><?xml version="1.0" encoding="utf-8"?>
<formControlPr xmlns="http://schemas.microsoft.com/office/spreadsheetml/2009/9/main" objectType="CheckBox" fmlaLink="$G$25" lockText="1" noThreeD="1"/>
</file>

<file path=xl/ctrlProps/ctrlProp13.xml><?xml version="1.0" encoding="utf-8"?>
<formControlPr xmlns="http://schemas.microsoft.com/office/spreadsheetml/2009/9/main" objectType="CheckBox" fmlaLink="$G$29" lockText="1" noThreeD="1"/>
</file>

<file path=xl/ctrlProps/ctrlProp14.xml><?xml version="1.0" encoding="utf-8"?>
<formControlPr xmlns="http://schemas.microsoft.com/office/spreadsheetml/2009/9/main" objectType="CheckBox" fmlaLink="$G$33" lockText="1" noThreeD="1"/>
</file>

<file path=xl/ctrlProps/ctrlProp15.xml><?xml version="1.0" encoding="utf-8"?>
<formControlPr xmlns="http://schemas.microsoft.com/office/spreadsheetml/2009/9/main" objectType="CheckBox" fmlaLink="$G$35" lockText="1" noThreeD="1"/>
</file>

<file path=xl/ctrlProps/ctrlProp16.xml><?xml version="1.0" encoding="utf-8"?>
<formControlPr xmlns="http://schemas.microsoft.com/office/spreadsheetml/2009/9/main" objectType="CheckBox" fmlaLink="$G$13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fmlaLink="$G$14" lockText="1" noThreeD="1"/>
</file>

<file path=xl/ctrlProps/ctrlProp23.xml><?xml version="1.0" encoding="utf-8"?>
<formControlPr xmlns="http://schemas.microsoft.com/office/spreadsheetml/2009/9/main" objectType="CheckBox" fmlaLink="$G$15" lockText="1" noThreeD="1"/>
</file>

<file path=xl/ctrlProps/ctrlProp24.xml><?xml version="1.0" encoding="utf-8"?>
<formControlPr xmlns="http://schemas.microsoft.com/office/spreadsheetml/2009/9/main" objectType="CheckBox" fmlaLink="$G$16" lockText="1" noThreeD="1"/>
</file>

<file path=xl/ctrlProps/ctrlProp25.xml><?xml version="1.0" encoding="utf-8"?>
<formControlPr xmlns="http://schemas.microsoft.com/office/spreadsheetml/2009/9/main" objectType="CheckBox" fmlaLink="$G$17" lockText="1" noThreeD="1"/>
</file>

<file path=xl/ctrlProps/ctrlProp26.xml><?xml version="1.0" encoding="utf-8"?>
<formControlPr xmlns="http://schemas.microsoft.com/office/spreadsheetml/2009/9/main" objectType="CheckBox" fmlaLink="$G$18" lockText="1" noThreeD="1"/>
</file>

<file path=xl/ctrlProps/ctrlProp27.xml><?xml version="1.0" encoding="utf-8"?>
<formControlPr xmlns="http://schemas.microsoft.com/office/spreadsheetml/2009/9/main" objectType="CheckBox" fmlaLink="$G$19" lockText="1" noThreeD="1"/>
</file>

<file path=xl/ctrlProps/ctrlProp28.xml><?xml version="1.0" encoding="utf-8"?>
<formControlPr xmlns="http://schemas.microsoft.com/office/spreadsheetml/2009/9/main" objectType="CheckBox" fmlaLink="$G$20" lockText="1" noThreeD="1"/>
</file>

<file path=xl/ctrlProps/ctrlProp29.xml><?xml version="1.0" encoding="utf-8"?>
<formControlPr xmlns="http://schemas.microsoft.com/office/spreadsheetml/2009/9/main" objectType="CheckBox" fmlaLink="$G$21" lockText="1" noThreeD="1"/>
</file>

<file path=xl/ctrlProps/ctrlProp30.xml><?xml version="1.0" encoding="utf-8"?>
<formControlPr xmlns="http://schemas.microsoft.com/office/spreadsheetml/2009/9/main" objectType="CheckBox" fmlaLink="$G$22" lockText="1" noThreeD="1"/>
</file>

<file path=xl/ctrlProps/ctrlProp31.xml><?xml version="1.0" encoding="utf-8"?>
<formControlPr xmlns="http://schemas.microsoft.com/office/spreadsheetml/2009/9/main" objectType="CheckBox" fmlaLink="$G$23" lockText="1" noThreeD="1"/>
</file>

<file path=xl/ctrlProps/ctrlProp32.xml><?xml version="1.0" encoding="utf-8"?>
<formControlPr xmlns="http://schemas.microsoft.com/office/spreadsheetml/2009/9/main" objectType="CheckBox" fmlaLink="$G$24" lockText="1" noThreeD="1"/>
</file>

<file path=xl/ctrlProps/ctrlProp33.xml><?xml version="1.0" encoding="utf-8"?>
<formControlPr xmlns="http://schemas.microsoft.com/office/spreadsheetml/2009/9/main" objectType="CheckBox" fmlaLink="$G$25" lockText="1" noThreeD="1"/>
</file>

<file path=xl/ctrlProps/ctrlProp34.xml><?xml version="1.0" encoding="utf-8"?>
<formControlPr xmlns="http://schemas.microsoft.com/office/spreadsheetml/2009/9/main" objectType="CheckBox" fmlaLink="$G$29" lockText="1" noThreeD="1"/>
</file>

<file path=xl/ctrlProps/ctrlProp35.xml><?xml version="1.0" encoding="utf-8"?>
<formControlPr xmlns="http://schemas.microsoft.com/office/spreadsheetml/2009/9/main" objectType="CheckBox" fmlaLink="$G$33" lockText="1" noThreeD="1"/>
</file>

<file path=xl/ctrlProps/ctrlProp36.xml><?xml version="1.0" encoding="utf-8"?>
<formControlPr xmlns="http://schemas.microsoft.com/office/spreadsheetml/2009/9/main" objectType="CheckBox" fmlaLink="$G$35" lockText="1" noThreeD="1"/>
</file>

<file path=xl/ctrlProps/ctrlProp37.xml><?xml version="1.0" encoding="utf-8"?>
<formControlPr xmlns="http://schemas.microsoft.com/office/spreadsheetml/2009/9/main" objectType="CheckBox" fmlaLink="$G$13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G$14" lockText="1" noThreeD="1"/>
</file>

<file path=xl/ctrlProps/ctrlProp44.xml><?xml version="1.0" encoding="utf-8"?>
<formControlPr xmlns="http://schemas.microsoft.com/office/spreadsheetml/2009/9/main" objectType="CheckBox" fmlaLink="$G$15" lockText="1" noThreeD="1"/>
</file>

<file path=xl/ctrlProps/ctrlProp45.xml><?xml version="1.0" encoding="utf-8"?>
<formControlPr xmlns="http://schemas.microsoft.com/office/spreadsheetml/2009/9/main" objectType="CheckBox" fmlaLink="$G$16" lockText="1" noThreeD="1"/>
</file>

<file path=xl/ctrlProps/ctrlProp46.xml><?xml version="1.0" encoding="utf-8"?>
<formControlPr xmlns="http://schemas.microsoft.com/office/spreadsheetml/2009/9/main" objectType="CheckBox" fmlaLink="$G$17" lockText="1" noThreeD="1"/>
</file>

<file path=xl/ctrlProps/ctrlProp47.xml><?xml version="1.0" encoding="utf-8"?>
<formControlPr xmlns="http://schemas.microsoft.com/office/spreadsheetml/2009/9/main" objectType="CheckBox" fmlaLink="$G$18" lockText="1" noThreeD="1"/>
</file>

<file path=xl/ctrlProps/ctrlProp48.xml><?xml version="1.0" encoding="utf-8"?>
<formControlPr xmlns="http://schemas.microsoft.com/office/spreadsheetml/2009/9/main" objectType="CheckBox" fmlaLink="$G$19" lockText="1" noThreeD="1"/>
</file>

<file path=xl/ctrlProps/ctrlProp49.xml><?xml version="1.0" encoding="utf-8"?>
<formControlPr xmlns="http://schemas.microsoft.com/office/spreadsheetml/2009/9/main" objectType="CheckBox" fmlaLink="$G$20" lockText="1" noThreeD="1"/>
</file>

<file path=xl/ctrlProps/ctrlProp50.xml><?xml version="1.0" encoding="utf-8"?>
<formControlPr xmlns="http://schemas.microsoft.com/office/spreadsheetml/2009/9/main" objectType="CheckBox" fmlaLink="$G$21" lockText="1" noThreeD="1"/>
</file>

<file path=xl/ctrlProps/ctrlProp51.xml><?xml version="1.0" encoding="utf-8"?>
<formControlPr xmlns="http://schemas.microsoft.com/office/spreadsheetml/2009/9/main" objectType="CheckBox" fmlaLink="$G$22" lockText="1" noThreeD="1"/>
</file>

<file path=xl/ctrlProps/ctrlProp52.xml><?xml version="1.0" encoding="utf-8"?>
<formControlPr xmlns="http://schemas.microsoft.com/office/spreadsheetml/2009/9/main" objectType="CheckBox" fmlaLink="$G$23" lockText="1" noThreeD="1"/>
</file>

<file path=xl/ctrlProps/ctrlProp53.xml><?xml version="1.0" encoding="utf-8"?>
<formControlPr xmlns="http://schemas.microsoft.com/office/spreadsheetml/2009/9/main" objectType="CheckBox" fmlaLink="$G$24" lockText="1" noThreeD="1"/>
</file>

<file path=xl/ctrlProps/ctrlProp54.xml><?xml version="1.0" encoding="utf-8"?>
<formControlPr xmlns="http://schemas.microsoft.com/office/spreadsheetml/2009/9/main" objectType="CheckBox" fmlaLink="$G$25" lockText="1" noThreeD="1"/>
</file>

<file path=xl/ctrlProps/ctrlProp55.xml><?xml version="1.0" encoding="utf-8"?>
<formControlPr xmlns="http://schemas.microsoft.com/office/spreadsheetml/2009/9/main" objectType="CheckBox" fmlaLink="$G$29" lockText="1" noThreeD="1"/>
</file>

<file path=xl/ctrlProps/ctrlProp56.xml><?xml version="1.0" encoding="utf-8"?>
<formControlPr xmlns="http://schemas.microsoft.com/office/spreadsheetml/2009/9/main" objectType="CheckBox" fmlaLink="$G$33" lockText="1" noThreeD="1"/>
</file>

<file path=xl/ctrlProps/ctrlProp57.xml><?xml version="1.0" encoding="utf-8"?>
<formControlPr xmlns="http://schemas.microsoft.com/office/spreadsheetml/2009/9/main" objectType="CheckBox" fmlaLink="$G$35" lockText="1" noThreeD="1"/>
</file>

<file path=xl/ctrlProps/ctrlProp58.xml><?xml version="1.0" encoding="utf-8"?>
<formControlPr xmlns="http://schemas.microsoft.com/office/spreadsheetml/2009/9/main" objectType="CheckBox" fmlaLink="$G$13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fmlaLink="$G$14" lockText="1" noThreeD="1"/>
</file>

<file path=xl/ctrlProps/ctrlProp65.xml><?xml version="1.0" encoding="utf-8"?>
<formControlPr xmlns="http://schemas.microsoft.com/office/spreadsheetml/2009/9/main" objectType="CheckBox" fmlaLink="$G$15" lockText="1" noThreeD="1"/>
</file>

<file path=xl/ctrlProps/ctrlProp66.xml><?xml version="1.0" encoding="utf-8"?>
<formControlPr xmlns="http://schemas.microsoft.com/office/spreadsheetml/2009/9/main" objectType="CheckBox" fmlaLink="$G$16" lockText="1" noThreeD="1"/>
</file>

<file path=xl/ctrlProps/ctrlProp67.xml><?xml version="1.0" encoding="utf-8"?>
<formControlPr xmlns="http://schemas.microsoft.com/office/spreadsheetml/2009/9/main" objectType="CheckBox" fmlaLink="$G$17" lockText="1" noThreeD="1"/>
</file>

<file path=xl/ctrlProps/ctrlProp68.xml><?xml version="1.0" encoding="utf-8"?>
<formControlPr xmlns="http://schemas.microsoft.com/office/spreadsheetml/2009/9/main" objectType="CheckBox" fmlaLink="$G$18" lockText="1" noThreeD="1"/>
</file>

<file path=xl/ctrlProps/ctrlProp69.xml><?xml version="1.0" encoding="utf-8"?>
<formControlPr xmlns="http://schemas.microsoft.com/office/spreadsheetml/2009/9/main" objectType="CheckBox" fmlaLink="$G$19" lockText="1" noThreeD="1"/>
</file>

<file path=xl/ctrlProps/ctrlProp70.xml><?xml version="1.0" encoding="utf-8"?>
<formControlPr xmlns="http://schemas.microsoft.com/office/spreadsheetml/2009/9/main" objectType="CheckBox" fmlaLink="$G$20" lockText="1" noThreeD="1"/>
</file>

<file path=xl/ctrlProps/ctrlProp71.xml><?xml version="1.0" encoding="utf-8"?>
<formControlPr xmlns="http://schemas.microsoft.com/office/spreadsheetml/2009/9/main" objectType="CheckBox" fmlaLink="$G$21" lockText="1" noThreeD="1"/>
</file>

<file path=xl/ctrlProps/ctrlProp72.xml><?xml version="1.0" encoding="utf-8"?>
<formControlPr xmlns="http://schemas.microsoft.com/office/spreadsheetml/2009/9/main" objectType="CheckBox" fmlaLink="$G$22" lockText="1" noThreeD="1"/>
</file>

<file path=xl/ctrlProps/ctrlProp73.xml><?xml version="1.0" encoding="utf-8"?>
<formControlPr xmlns="http://schemas.microsoft.com/office/spreadsheetml/2009/9/main" objectType="CheckBox" fmlaLink="$G$23" lockText="1" noThreeD="1"/>
</file>

<file path=xl/ctrlProps/ctrlProp74.xml><?xml version="1.0" encoding="utf-8"?>
<formControlPr xmlns="http://schemas.microsoft.com/office/spreadsheetml/2009/9/main" objectType="CheckBox" fmlaLink="$G$24" lockText="1" noThreeD="1"/>
</file>

<file path=xl/ctrlProps/ctrlProp75.xml><?xml version="1.0" encoding="utf-8"?>
<formControlPr xmlns="http://schemas.microsoft.com/office/spreadsheetml/2009/9/main" objectType="CheckBox" fmlaLink="$G$25" lockText="1" noThreeD="1"/>
</file>

<file path=xl/ctrlProps/ctrlProp76.xml><?xml version="1.0" encoding="utf-8"?>
<formControlPr xmlns="http://schemas.microsoft.com/office/spreadsheetml/2009/9/main" objectType="CheckBox" fmlaLink="$G$29" lockText="1" noThreeD="1"/>
</file>

<file path=xl/ctrlProps/ctrlProp77.xml><?xml version="1.0" encoding="utf-8"?>
<formControlPr xmlns="http://schemas.microsoft.com/office/spreadsheetml/2009/9/main" objectType="CheckBox" fmlaLink="$G$33" lockText="1" noThreeD="1"/>
</file>

<file path=xl/ctrlProps/ctrlProp78.xml><?xml version="1.0" encoding="utf-8"?>
<formControlPr xmlns="http://schemas.microsoft.com/office/spreadsheetml/2009/9/main" objectType="CheckBox" fmlaLink="$G$35" lockText="1" noThreeD="1"/>
</file>

<file path=xl/ctrlProps/ctrlProp79.xml><?xml version="1.0" encoding="utf-8"?>
<formControlPr xmlns="http://schemas.microsoft.com/office/spreadsheetml/2009/9/main" objectType="CheckBox" fmlaLink="$G$13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fmlaLink="$G$14" lockText="1" noThreeD="1"/>
</file>

<file path=xl/ctrlProps/ctrlProp86.xml><?xml version="1.0" encoding="utf-8"?>
<formControlPr xmlns="http://schemas.microsoft.com/office/spreadsheetml/2009/9/main" objectType="CheckBox" fmlaLink="$G$15" lockText="1" noThreeD="1"/>
</file>

<file path=xl/ctrlProps/ctrlProp87.xml><?xml version="1.0" encoding="utf-8"?>
<formControlPr xmlns="http://schemas.microsoft.com/office/spreadsheetml/2009/9/main" objectType="CheckBox" fmlaLink="$G$16" lockText="1" noThreeD="1"/>
</file>

<file path=xl/ctrlProps/ctrlProp88.xml><?xml version="1.0" encoding="utf-8"?>
<formControlPr xmlns="http://schemas.microsoft.com/office/spreadsheetml/2009/9/main" objectType="CheckBox" fmlaLink="$G$17" lockText="1" noThreeD="1"/>
</file>

<file path=xl/ctrlProps/ctrlProp89.xml><?xml version="1.0" encoding="utf-8"?>
<formControlPr xmlns="http://schemas.microsoft.com/office/spreadsheetml/2009/9/main" objectType="CheckBox" fmlaLink="$G$18" lockText="1" noThreeD="1"/>
</file>

<file path=xl/ctrlProps/ctrlProp90.xml><?xml version="1.0" encoding="utf-8"?>
<formControlPr xmlns="http://schemas.microsoft.com/office/spreadsheetml/2009/9/main" objectType="CheckBox" fmlaLink="$G$19" lockText="1" noThreeD="1"/>
</file>

<file path=xl/ctrlProps/ctrlProp91.xml><?xml version="1.0" encoding="utf-8"?>
<formControlPr xmlns="http://schemas.microsoft.com/office/spreadsheetml/2009/9/main" objectType="CheckBox" fmlaLink="$G$20" lockText="1" noThreeD="1"/>
</file>

<file path=xl/ctrlProps/ctrlProp92.xml><?xml version="1.0" encoding="utf-8"?>
<formControlPr xmlns="http://schemas.microsoft.com/office/spreadsheetml/2009/9/main" objectType="CheckBox" fmlaLink="$G$21" lockText="1" noThreeD="1"/>
</file>

<file path=xl/ctrlProps/ctrlProp93.xml><?xml version="1.0" encoding="utf-8"?>
<formControlPr xmlns="http://schemas.microsoft.com/office/spreadsheetml/2009/9/main" objectType="CheckBox" fmlaLink="$G$22" lockText="1" noThreeD="1"/>
</file>

<file path=xl/ctrlProps/ctrlProp94.xml><?xml version="1.0" encoding="utf-8"?>
<formControlPr xmlns="http://schemas.microsoft.com/office/spreadsheetml/2009/9/main" objectType="CheckBox" fmlaLink="$G$23" lockText="1" noThreeD="1"/>
</file>

<file path=xl/ctrlProps/ctrlProp95.xml><?xml version="1.0" encoding="utf-8"?>
<formControlPr xmlns="http://schemas.microsoft.com/office/spreadsheetml/2009/9/main" objectType="CheckBox" fmlaLink="$G$24" lockText="1" noThreeD="1"/>
</file>

<file path=xl/ctrlProps/ctrlProp96.xml><?xml version="1.0" encoding="utf-8"?>
<formControlPr xmlns="http://schemas.microsoft.com/office/spreadsheetml/2009/9/main" objectType="CheckBox" fmlaLink="$G$25" lockText="1" noThreeD="1"/>
</file>

<file path=xl/ctrlProps/ctrlProp97.xml><?xml version="1.0" encoding="utf-8"?>
<formControlPr xmlns="http://schemas.microsoft.com/office/spreadsheetml/2009/9/main" objectType="CheckBox" fmlaLink="$G$29" lockText="1" noThreeD="1"/>
</file>

<file path=xl/ctrlProps/ctrlProp98.xml><?xml version="1.0" encoding="utf-8"?>
<formControlPr xmlns="http://schemas.microsoft.com/office/spreadsheetml/2009/9/main" objectType="CheckBox" fmlaLink="$G$33" lockText="1" noThreeD="1"/>
</file>

<file path=xl/ctrlProps/ctrlProp99.xml><?xml version="1.0" encoding="utf-8"?>
<formControlPr xmlns="http://schemas.microsoft.com/office/spreadsheetml/2009/9/main" objectType="CheckBox" fmlaLink="$G$35" lockText="1" noThreeD="1"/>
</file>

<file path=xl/ctrlProps/ctrlProp100.xml><?xml version="1.0" encoding="utf-8"?>
<formControlPr xmlns="http://schemas.microsoft.com/office/spreadsheetml/2009/9/main" objectType="CheckBox" fmlaLink="$G$13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CheckBox" fmlaLink="$G$14" lockText="1" noThreeD="1"/>
</file>

<file path=xl/ctrlProps/ctrlProp107.xml><?xml version="1.0" encoding="utf-8"?>
<formControlPr xmlns="http://schemas.microsoft.com/office/spreadsheetml/2009/9/main" objectType="CheckBox" fmlaLink="$G$15" lockText="1" noThreeD="1"/>
</file>

<file path=xl/ctrlProps/ctrlProp108.xml><?xml version="1.0" encoding="utf-8"?>
<formControlPr xmlns="http://schemas.microsoft.com/office/spreadsheetml/2009/9/main" objectType="CheckBox" fmlaLink="$G$16" lockText="1" noThreeD="1"/>
</file>

<file path=xl/ctrlProps/ctrlProp109.xml><?xml version="1.0" encoding="utf-8"?>
<formControlPr xmlns="http://schemas.microsoft.com/office/spreadsheetml/2009/9/main" objectType="CheckBox" fmlaLink="$G$17" lockText="1" noThreeD="1"/>
</file>

<file path=xl/ctrlProps/ctrlProp110.xml><?xml version="1.0" encoding="utf-8"?>
<formControlPr xmlns="http://schemas.microsoft.com/office/spreadsheetml/2009/9/main" objectType="CheckBox" fmlaLink="$G$18" lockText="1" noThreeD="1"/>
</file>

<file path=xl/ctrlProps/ctrlProp111.xml><?xml version="1.0" encoding="utf-8"?>
<formControlPr xmlns="http://schemas.microsoft.com/office/spreadsheetml/2009/9/main" objectType="CheckBox" fmlaLink="$G$19" lockText="1" noThreeD="1"/>
</file>

<file path=xl/ctrlProps/ctrlProp112.xml><?xml version="1.0" encoding="utf-8"?>
<formControlPr xmlns="http://schemas.microsoft.com/office/spreadsheetml/2009/9/main" objectType="CheckBox" fmlaLink="$G$20" lockText="1" noThreeD="1"/>
</file>

<file path=xl/ctrlProps/ctrlProp113.xml><?xml version="1.0" encoding="utf-8"?>
<formControlPr xmlns="http://schemas.microsoft.com/office/spreadsheetml/2009/9/main" objectType="CheckBox" fmlaLink="$G$21" lockText="1" noThreeD="1"/>
</file>

<file path=xl/ctrlProps/ctrlProp114.xml><?xml version="1.0" encoding="utf-8"?>
<formControlPr xmlns="http://schemas.microsoft.com/office/spreadsheetml/2009/9/main" objectType="CheckBox" fmlaLink="$G$22" lockText="1" noThreeD="1"/>
</file>

<file path=xl/ctrlProps/ctrlProp115.xml><?xml version="1.0" encoding="utf-8"?>
<formControlPr xmlns="http://schemas.microsoft.com/office/spreadsheetml/2009/9/main" objectType="CheckBox" fmlaLink="$G$23" lockText="1" noThreeD="1"/>
</file>

<file path=xl/ctrlProps/ctrlProp116.xml><?xml version="1.0" encoding="utf-8"?>
<formControlPr xmlns="http://schemas.microsoft.com/office/spreadsheetml/2009/9/main" objectType="CheckBox" fmlaLink="$G$24" lockText="1" noThreeD="1"/>
</file>

<file path=xl/ctrlProps/ctrlProp117.xml><?xml version="1.0" encoding="utf-8"?>
<formControlPr xmlns="http://schemas.microsoft.com/office/spreadsheetml/2009/9/main" objectType="CheckBox" fmlaLink="$G$25" lockText="1" noThreeD="1"/>
</file>

<file path=xl/ctrlProps/ctrlProp118.xml><?xml version="1.0" encoding="utf-8"?>
<formControlPr xmlns="http://schemas.microsoft.com/office/spreadsheetml/2009/9/main" objectType="CheckBox" fmlaLink="$G$29" lockText="1" noThreeD="1"/>
</file>

<file path=xl/ctrlProps/ctrlProp119.xml><?xml version="1.0" encoding="utf-8"?>
<formControlPr xmlns="http://schemas.microsoft.com/office/spreadsheetml/2009/9/main" objectType="CheckBox" fmlaLink="$G$33" lockText="1" noThreeD="1"/>
</file>

<file path=xl/ctrlProps/ctrlProp120.xml><?xml version="1.0" encoding="utf-8"?>
<formControlPr xmlns="http://schemas.microsoft.com/office/spreadsheetml/2009/9/main" objectType="CheckBox" fmlaLink="$G$35" lockText="1" noThreeD="1"/>
</file>

<file path=xl/ctrlProps/ctrlProp121.xml><?xml version="1.0" encoding="utf-8"?>
<formControlPr xmlns="http://schemas.microsoft.com/office/spreadsheetml/2009/9/main" objectType="CheckBox" fmlaLink="$G$13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fmlaLink="$G$14" lockText="1" noThreeD="1"/>
</file>

<file path=xl/ctrlProps/ctrlProp128.xml><?xml version="1.0" encoding="utf-8"?>
<formControlPr xmlns="http://schemas.microsoft.com/office/spreadsheetml/2009/9/main" objectType="CheckBox" fmlaLink="$G$15" lockText="1" noThreeD="1"/>
</file>

<file path=xl/ctrlProps/ctrlProp129.xml><?xml version="1.0" encoding="utf-8"?>
<formControlPr xmlns="http://schemas.microsoft.com/office/spreadsheetml/2009/9/main" objectType="CheckBox" fmlaLink="$G$16" lockText="1" noThreeD="1"/>
</file>

<file path=xl/ctrlProps/ctrlProp130.xml><?xml version="1.0" encoding="utf-8"?>
<formControlPr xmlns="http://schemas.microsoft.com/office/spreadsheetml/2009/9/main" objectType="CheckBox" fmlaLink="$G$17" lockText="1" noThreeD="1"/>
</file>

<file path=xl/ctrlProps/ctrlProp131.xml><?xml version="1.0" encoding="utf-8"?>
<formControlPr xmlns="http://schemas.microsoft.com/office/spreadsheetml/2009/9/main" objectType="CheckBox" fmlaLink="$G$18" lockText="1" noThreeD="1"/>
</file>

<file path=xl/ctrlProps/ctrlProp132.xml><?xml version="1.0" encoding="utf-8"?>
<formControlPr xmlns="http://schemas.microsoft.com/office/spreadsheetml/2009/9/main" objectType="CheckBox" fmlaLink="$G$19" lockText="1" noThreeD="1"/>
</file>

<file path=xl/ctrlProps/ctrlProp133.xml><?xml version="1.0" encoding="utf-8"?>
<formControlPr xmlns="http://schemas.microsoft.com/office/spreadsheetml/2009/9/main" objectType="CheckBox" fmlaLink="$G$20" lockText="1" noThreeD="1"/>
</file>

<file path=xl/ctrlProps/ctrlProp134.xml><?xml version="1.0" encoding="utf-8"?>
<formControlPr xmlns="http://schemas.microsoft.com/office/spreadsheetml/2009/9/main" objectType="CheckBox" fmlaLink="$G$21" lockText="1" noThreeD="1"/>
</file>

<file path=xl/ctrlProps/ctrlProp135.xml><?xml version="1.0" encoding="utf-8"?>
<formControlPr xmlns="http://schemas.microsoft.com/office/spreadsheetml/2009/9/main" objectType="CheckBox" fmlaLink="$G$22" lockText="1" noThreeD="1"/>
</file>

<file path=xl/ctrlProps/ctrlProp136.xml><?xml version="1.0" encoding="utf-8"?>
<formControlPr xmlns="http://schemas.microsoft.com/office/spreadsheetml/2009/9/main" objectType="CheckBox" fmlaLink="$G$23" lockText="1" noThreeD="1"/>
</file>

<file path=xl/ctrlProps/ctrlProp137.xml><?xml version="1.0" encoding="utf-8"?>
<formControlPr xmlns="http://schemas.microsoft.com/office/spreadsheetml/2009/9/main" objectType="CheckBox" fmlaLink="$G$24" lockText="1" noThreeD="1"/>
</file>

<file path=xl/ctrlProps/ctrlProp138.xml><?xml version="1.0" encoding="utf-8"?>
<formControlPr xmlns="http://schemas.microsoft.com/office/spreadsheetml/2009/9/main" objectType="CheckBox" fmlaLink="$G$25" lockText="1" noThreeD="1"/>
</file>

<file path=xl/ctrlProps/ctrlProp139.xml><?xml version="1.0" encoding="utf-8"?>
<formControlPr xmlns="http://schemas.microsoft.com/office/spreadsheetml/2009/9/main" objectType="CheckBox" fmlaLink="$G$29" lockText="1" noThreeD="1"/>
</file>

<file path=xl/ctrlProps/ctrlProp140.xml><?xml version="1.0" encoding="utf-8"?>
<formControlPr xmlns="http://schemas.microsoft.com/office/spreadsheetml/2009/9/main" objectType="CheckBox" fmlaLink="$G$33" lockText="1" noThreeD="1"/>
</file>

<file path=xl/ctrlProps/ctrlProp141.xml><?xml version="1.0" encoding="utf-8"?>
<formControlPr xmlns="http://schemas.microsoft.com/office/spreadsheetml/2009/9/main" objectType="CheckBox" fmlaLink="$G$35" lockText="1" noThreeD="1"/>
</file>

<file path=xl/ctrlProps/ctrlProp142.xml><?xml version="1.0" encoding="utf-8"?>
<formControlPr xmlns="http://schemas.microsoft.com/office/spreadsheetml/2009/9/main" objectType="CheckBox" fmlaLink="$G$13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fmlaLink="$G$14" lockText="1" noThreeD="1"/>
</file>

<file path=xl/ctrlProps/ctrlProp149.xml><?xml version="1.0" encoding="utf-8"?>
<formControlPr xmlns="http://schemas.microsoft.com/office/spreadsheetml/2009/9/main" objectType="CheckBox" fmlaLink="$G$15" lockText="1" noThreeD="1"/>
</file>

<file path=xl/ctrlProps/ctrlProp150.xml><?xml version="1.0" encoding="utf-8"?>
<formControlPr xmlns="http://schemas.microsoft.com/office/spreadsheetml/2009/9/main" objectType="CheckBox" fmlaLink="$G$16" lockText="1" noThreeD="1"/>
</file>

<file path=xl/ctrlProps/ctrlProp151.xml><?xml version="1.0" encoding="utf-8"?>
<formControlPr xmlns="http://schemas.microsoft.com/office/spreadsheetml/2009/9/main" objectType="CheckBox" fmlaLink="$G$17" lockText="1" noThreeD="1"/>
</file>

<file path=xl/ctrlProps/ctrlProp152.xml><?xml version="1.0" encoding="utf-8"?>
<formControlPr xmlns="http://schemas.microsoft.com/office/spreadsheetml/2009/9/main" objectType="CheckBox" fmlaLink="$G$18" lockText="1" noThreeD="1"/>
</file>

<file path=xl/ctrlProps/ctrlProp153.xml><?xml version="1.0" encoding="utf-8"?>
<formControlPr xmlns="http://schemas.microsoft.com/office/spreadsheetml/2009/9/main" objectType="CheckBox" fmlaLink="$G$19" lockText="1" noThreeD="1"/>
</file>

<file path=xl/ctrlProps/ctrlProp154.xml><?xml version="1.0" encoding="utf-8"?>
<formControlPr xmlns="http://schemas.microsoft.com/office/spreadsheetml/2009/9/main" objectType="CheckBox" fmlaLink="$G$20" lockText="1" noThreeD="1"/>
</file>

<file path=xl/ctrlProps/ctrlProp155.xml><?xml version="1.0" encoding="utf-8"?>
<formControlPr xmlns="http://schemas.microsoft.com/office/spreadsheetml/2009/9/main" objectType="CheckBox" fmlaLink="$G$21" lockText="1" noThreeD="1"/>
</file>

<file path=xl/ctrlProps/ctrlProp156.xml><?xml version="1.0" encoding="utf-8"?>
<formControlPr xmlns="http://schemas.microsoft.com/office/spreadsheetml/2009/9/main" objectType="CheckBox" fmlaLink="$G$22" lockText="1" noThreeD="1"/>
</file>

<file path=xl/ctrlProps/ctrlProp157.xml><?xml version="1.0" encoding="utf-8"?>
<formControlPr xmlns="http://schemas.microsoft.com/office/spreadsheetml/2009/9/main" objectType="CheckBox" fmlaLink="$G$23" lockText="1" noThreeD="1"/>
</file>

<file path=xl/ctrlProps/ctrlProp158.xml><?xml version="1.0" encoding="utf-8"?>
<formControlPr xmlns="http://schemas.microsoft.com/office/spreadsheetml/2009/9/main" objectType="CheckBox" fmlaLink="$G$24" lockText="1" noThreeD="1"/>
</file>

<file path=xl/ctrlProps/ctrlProp159.xml><?xml version="1.0" encoding="utf-8"?>
<formControlPr xmlns="http://schemas.microsoft.com/office/spreadsheetml/2009/9/main" objectType="CheckBox" fmlaLink="$G$25" lockText="1" noThreeD="1"/>
</file>

<file path=xl/ctrlProps/ctrlProp160.xml><?xml version="1.0" encoding="utf-8"?>
<formControlPr xmlns="http://schemas.microsoft.com/office/spreadsheetml/2009/9/main" objectType="CheckBox" fmlaLink="$G$29" lockText="1" noThreeD="1"/>
</file>

<file path=xl/ctrlProps/ctrlProp161.xml><?xml version="1.0" encoding="utf-8"?>
<formControlPr xmlns="http://schemas.microsoft.com/office/spreadsheetml/2009/9/main" objectType="CheckBox" fmlaLink="$G$33" lockText="1" noThreeD="1"/>
</file>

<file path=xl/ctrlProps/ctrlProp162.xml><?xml version="1.0" encoding="utf-8"?>
<formControlPr xmlns="http://schemas.microsoft.com/office/spreadsheetml/2009/9/main" objectType="CheckBox" fmlaLink="$G$35" lockText="1" noThreeD="1"/>
</file>

<file path=xl/ctrlProps/ctrlProp163.xml><?xml version="1.0" encoding="utf-8"?>
<formControlPr xmlns="http://schemas.microsoft.com/office/spreadsheetml/2009/9/main" objectType="CheckBox" fmlaLink="$G$13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fmlaLink="$G$14" lockText="1" noThreeD="1"/>
</file>

<file path=xl/ctrlProps/ctrlProp170.xml><?xml version="1.0" encoding="utf-8"?>
<formControlPr xmlns="http://schemas.microsoft.com/office/spreadsheetml/2009/9/main" objectType="CheckBox" fmlaLink="$G$15" lockText="1" noThreeD="1"/>
</file>

<file path=xl/ctrlProps/ctrlProp171.xml><?xml version="1.0" encoding="utf-8"?>
<formControlPr xmlns="http://schemas.microsoft.com/office/spreadsheetml/2009/9/main" objectType="CheckBox" fmlaLink="$G$16" lockText="1" noThreeD="1"/>
</file>

<file path=xl/ctrlProps/ctrlProp172.xml><?xml version="1.0" encoding="utf-8"?>
<formControlPr xmlns="http://schemas.microsoft.com/office/spreadsheetml/2009/9/main" objectType="CheckBox" fmlaLink="$G$17" lockText="1" noThreeD="1"/>
</file>

<file path=xl/ctrlProps/ctrlProp173.xml><?xml version="1.0" encoding="utf-8"?>
<formControlPr xmlns="http://schemas.microsoft.com/office/spreadsheetml/2009/9/main" objectType="CheckBox" fmlaLink="$G$18" lockText="1" noThreeD="1"/>
</file>

<file path=xl/ctrlProps/ctrlProp174.xml><?xml version="1.0" encoding="utf-8"?>
<formControlPr xmlns="http://schemas.microsoft.com/office/spreadsheetml/2009/9/main" objectType="CheckBox" fmlaLink="$G$19" lockText="1" noThreeD="1"/>
</file>

<file path=xl/ctrlProps/ctrlProp175.xml><?xml version="1.0" encoding="utf-8"?>
<formControlPr xmlns="http://schemas.microsoft.com/office/spreadsheetml/2009/9/main" objectType="CheckBox" fmlaLink="$G$20" lockText="1" noThreeD="1"/>
</file>

<file path=xl/ctrlProps/ctrlProp176.xml><?xml version="1.0" encoding="utf-8"?>
<formControlPr xmlns="http://schemas.microsoft.com/office/spreadsheetml/2009/9/main" objectType="CheckBox" fmlaLink="$G$21" lockText="1" noThreeD="1"/>
</file>

<file path=xl/ctrlProps/ctrlProp177.xml><?xml version="1.0" encoding="utf-8"?>
<formControlPr xmlns="http://schemas.microsoft.com/office/spreadsheetml/2009/9/main" objectType="CheckBox" fmlaLink="$G$22" lockText="1" noThreeD="1"/>
</file>

<file path=xl/ctrlProps/ctrlProp178.xml><?xml version="1.0" encoding="utf-8"?>
<formControlPr xmlns="http://schemas.microsoft.com/office/spreadsheetml/2009/9/main" objectType="CheckBox" fmlaLink="$G$23" lockText="1" noThreeD="1"/>
</file>

<file path=xl/ctrlProps/ctrlProp179.xml><?xml version="1.0" encoding="utf-8"?>
<formControlPr xmlns="http://schemas.microsoft.com/office/spreadsheetml/2009/9/main" objectType="CheckBox" fmlaLink="$G$24" lockText="1" noThreeD="1"/>
</file>

<file path=xl/ctrlProps/ctrlProp180.xml><?xml version="1.0" encoding="utf-8"?>
<formControlPr xmlns="http://schemas.microsoft.com/office/spreadsheetml/2009/9/main" objectType="CheckBox" fmlaLink="$G$25" lockText="1" noThreeD="1"/>
</file>

<file path=xl/ctrlProps/ctrlProp181.xml><?xml version="1.0" encoding="utf-8"?>
<formControlPr xmlns="http://schemas.microsoft.com/office/spreadsheetml/2009/9/main" objectType="CheckBox" fmlaLink="$G$29" lockText="1" noThreeD="1"/>
</file>

<file path=xl/ctrlProps/ctrlProp182.xml><?xml version="1.0" encoding="utf-8"?>
<formControlPr xmlns="http://schemas.microsoft.com/office/spreadsheetml/2009/9/main" objectType="CheckBox" fmlaLink="$G$33" lockText="1" noThreeD="1"/>
</file>

<file path=xl/ctrlProps/ctrlProp183.xml><?xml version="1.0" encoding="utf-8"?>
<formControlPr xmlns="http://schemas.microsoft.com/office/spreadsheetml/2009/9/main" objectType="CheckBox" fmlaLink="$G$35" lockText="1" noThreeD="1"/>
</file>

<file path=xl/ctrlProps/ctrlProp184.xml><?xml version="1.0" encoding="utf-8"?>
<formControlPr xmlns="http://schemas.microsoft.com/office/spreadsheetml/2009/9/main" objectType="CheckBox" fmlaLink="$G$13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・製品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8</xdr:col>
      <xdr:colOff>442232</xdr:colOff>
      <xdr:row>16</xdr:row>
      <xdr:rowOff>1143001</xdr:rowOff>
    </xdr:from>
    <xdr:to>
      <xdr:col>12</xdr:col>
      <xdr:colOff>1738312</xdr:colOff>
      <xdr:row>17</xdr:row>
      <xdr:rowOff>1143001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705920" y="10072689"/>
          <a:ext cx="6844392" cy="1166812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日本公庫に、具体的にご相談したいことやご希望されることがございましたら、以下にチェックをつけていただきお取引支店までご提出ください。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4424600" y="20631148"/>
          <a:ext cx="13458825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284864" y="146503"/>
          <a:ext cx="10320337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6005751" y="156027"/>
          <a:ext cx="10391775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29317951" y="146503"/>
          <a:ext cx="804862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44134089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1581150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228600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3500437" y="2846840"/>
          <a:ext cx="6829425" cy="815523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製造業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・商品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9</xdr:col>
      <xdr:colOff>13608</xdr:colOff>
      <xdr:row>17</xdr:row>
      <xdr:rowOff>1</xdr:rowOff>
    </xdr:from>
    <xdr:to>
      <xdr:col>13</xdr:col>
      <xdr:colOff>0</xdr:colOff>
      <xdr:row>18</xdr:row>
      <xdr:rowOff>0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777358" y="10115551"/>
          <a:ext cx="6806292" cy="1162049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日本公庫に、具体的にご相談したいことやご希望されることがございましたら、以下にチェックをつけていただきお取引支店までご提出ください。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44424600" y="20631148"/>
          <a:ext cx="13458825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1284864" y="146503"/>
          <a:ext cx="10320337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46015276" y="156027"/>
          <a:ext cx="10363200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29317951" y="146503"/>
          <a:ext cx="804862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44148376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1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1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1581150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228600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3500437" y="2846840"/>
          <a:ext cx="6829425" cy="815523"/>
        </a:xfrm>
        <a:prstGeom prst="roundRect">
          <a:avLst/>
        </a:prstGeom>
        <a:solidFill>
          <a:srgbClr val="934BC9"/>
        </a:solidFill>
        <a:ln>
          <a:solidFill>
            <a:srgbClr val="934BC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卸売業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1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2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・商品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9</xdr:col>
      <xdr:colOff>13608</xdr:colOff>
      <xdr:row>17</xdr:row>
      <xdr:rowOff>1</xdr:rowOff>
    </xdr:from>
    <xdr:to>
      <xdr:col>13</xdr:col>
      <xdr:colOff>0</xdr:colOff>
      <xdr:row>18</xdr:row>
      <xdr:rowOff>0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777358" y="10115551"/>
          <a:ext cx="6806292" cy="1162049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日本公庫に、具体的にご相談したいことやご希望されることがございましたら、以下にチェックをつけていただきお取引支店までご提出ください。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44424600" y="20631148"/>
          <a:ext cx="13458825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1284864" y="146503"/>
          <a:ext cx="10320337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46005751" y="156027"/>
          <a:ext cx="10391775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9317951" y="146503"/>
          <a:ext cx="804862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44148376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2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2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2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1581150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228600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3500437" y="2846840"/>
          <a:ext cx="6829425" cy="815523"/>
        </a:xfrm>
        <a:prstGeom prst="roundRect">
          <a:avLst/>
        </a:prstGeom>
        <a:solidFill>
          <a:srgbClr val="FF6600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小売業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2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3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3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3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3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3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3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3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3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3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3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・サービス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9</xdr:col>
      <xdr:colOff>13608</xdr:colOff>
      <xdr:row>17</xdr:row>
      <xdr:rowOff>1</xdr:rowOff>
    </xdr:from>
    <xdr:to>
      <xdr:col>13</xdr:col>
      <xdr:colOff>0</xdr:colOff>
      <xdr:row>18</xdr:row>
      <xdr:rowOff>0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777358" y="10115551"/>
          <a:ext cx="6806292" cy="1162049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日本公庫に、具体的にご相談したいことやご希望されることがございましたら、以下から選択していただき、お取引支店までご提出ください。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4424600" y="20631148"/>
          <a:ext cx="13458825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1284864" y="146503"/>
          <a:ext cx="10320337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46015276" y="156027"/>
          <a:ext cx="10363200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29317951" y="146503"/>
          <a:ext cx="804862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44148376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3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3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3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3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1581150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228600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3500437" y="2846840"/>
          <a:ext cx="6829425" cy="815523"/>
        </a:xfrm>
        <a:prstGeom prst="roundRect">
          <a:avLst/>
        </a:prstGeom>
        <a:solidFill>
          <a:srgbClr val="0066CC"/>
        </a:solidFill>
        <a:ln>
          <a:solidFill>
            <a:srgbClr val="0066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サービス業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3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11270" name="Check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11271" name="Check Box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11273" name="Check Box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4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4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4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4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・商品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9</xdr:col>
      <xdr:colOff>13608</xdr:colOff>
      <xdr:row>17</xdr:row>
      <xdr:rowOff>1</xdr:rowOff>
    </xdr:from>
    <xdr:to>
      <xdr:col>13</xdr:col>
      <xdr:colOff>0</xdr:colOff>
      <xdr:row>18</xdr:row>
      <xdr:rowOff>0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777358" y="10096501"/>
          <a:ext cx="6844392" cy="1166812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日本公庫に、具体的にご相談したいことやご希望されることがございましたら、以下にチェックをつけていただきお取引支店までご提出ください。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44424600" y="20631148"/>
          <a:ext cx="13458825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31284864" y="146503"/>
          <a:ext cx="10320337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46015276" y="156027"/>
          <a:ext cx="10363200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29317951" y="146503"/>
          <a:ext cx="804862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44148376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4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4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4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4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1581150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228600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3500437" y="2846840"/>
          <a:ext cx="6829425" cy="815523"/>
        </a:xfrm>
        <a:prstGeom prst="roundRect">
          <a:avLst/>
        </a:prstGeom>
        <a:solidFill>
          <a:srgbClr val="FF0066"/>
        </a:solidFill>
        <a:ln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飲食業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4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5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5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5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5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5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5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5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・製品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9</xdr:col>
      <xdr:colOff>13608</xdr:colOff>
      <xdr:row>17</xdr:row>
      <xdr:rowOff>1</xdr:rowOff>
    </xdr:from>
    <xdr:to>
      <xdr:col>13</xdr:col>
      <xdr:colOff>0</xdr:colOff>
      <xdr:row>18</xdr:row>
      <xdr:rowOff>0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4777358" y="10115551"/>
          <a:ext cx="6806292" cy="1162049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日本公庫に、具体的にご相談したいことやご希望されることがございましたら、以下にチェックをつけていただきお取引支店までご提出ください。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44424600" y="20631148"/>
          <a:ext cx="13458825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31284864" y="146503"/>
          <a:ext cx="10320337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46015276" y="156027"/>
          <a:ext cx="10363200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29317951" y="146503"/>
          <a:ext cx="804862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44148376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5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5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5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5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1581150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228600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3500437" y="2846840"/>
          <a:ext cx="6829425" cy="815523"/>
        </a:xfrm>
        <a:prstGeom prst="roundRect">
          <a:avLst/>
        </a:prstGeom>
        <a:solidFill>
          <a:srgbClr val="0099CC"/>
        </a:solidFill>
        <a:ln>
          <a:solidFill>
            <a:srgbClr val="0099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建設業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5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6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6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6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6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6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6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6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6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・サービス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9</xdr:col>
      <xdr:colOff>13608</xdr:colOff>
      <xdr:row>17</xdr:row>
      <xdr:rowOff>1</xdr:rowOff>
    </xdr:from>
    <xdr:to>
      <xdr:col>13</xdr:col>
      <xdr:colOff>0</xdr:colOff>
      <xdr:row>18</xdr:row>
      <xdr:rowOff>0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4777358" y="10115551"/>
          <a:ext cx="6806292" cy="1162049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日本公庫に、具体的にご相談したいことやご希望されることがございましたら、以下にチェックをつけていただきお取引支店までご提出ください。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44424600" y="20631148"/>
          <a:ext cx="13458825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31284864" y="146503"/>
          <a:ext cx="10320337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>
          <a:off x="46015276" y="156027"/>
          <a:ext cx="10363200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>
        <a:xfrm>
          <a:off x="29317951" y="146503"/>
          <a:ext cx="804862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44148376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6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6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6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6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1581150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228600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>
        <a:xfrm>
          <a:off x="3500437" y="2846840"/>
          <a:ext cx="6829425" cy="815523"/>
        </a:xfrm>
        <a:prstGeom prst="roundRect">
          <a:avLst/>
        </a:prstGeom>
        <a:solidFill>
          <a:srgbClr val="CCCC00"/>
        </a:solidFill>
        <a:ln>
          <a:solidFill>
            <a:srgbClr val="CC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宿泊業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6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7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7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・サービス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9</xdr:col>
      <xdr:colOff>13608</xdr:colOff>
      <xdr:row>17</xdr:row>
      <xdr:rowOff>1</xdr:rowOff>
    </xdr:from>
    <xdr:to>
      <xdr:col>13</xdr:col>
      <xdr:colOff>0</xdr:colOff>
      <xdr:row>18</xdr:row>
      <xdr:rowOff>0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4777358" y="10115551"/>
          <a:ext cx="6806292" cy="1162049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日本公庫に、具体的にご相談したいことやご希望されることがございましたら、以下にチェックをつけていただきお取引支店までご提出ください。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44410313" y="20645436"/>
          <a:ext cx="13501687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31251526" y="146503"/>
          <a:ext cx="10353675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46015276" y="156027"/>
          <a:ext cx="10363200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29279851" y="146503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44148376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7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7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7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7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1785937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119062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>
        <a:xfrm>
          <a:off x="3500437" y="2827790"/>
          <a:ext cx="6834188" cy="805998"/>
        </a:xfrm>
        <a:prstGeom prst="roundRect">
          <a:avLst/>
        </a:prstGeom>
        <a:solidFill>
          <a:srgbClr val="FF4343"/>
        </a:solidFill>
        <a:ln>
          <a:solidFill>
            <a:srgbClr val="FF434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医療・福祉業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7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419100</xdr:rowOff>
        </xdr:from>
        <xdr:to>
          <xdr:col>5</xdr:col>
          <xdr:colOff>714375</xdr:colOff>
          <xdr:row>13</xdr:row>
          <xdr:rowOff>790575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390525</xdr:rowOff>
        </xdr:from>
        <xdr:to>
          <xdr:col>5</xdr:col>
          <xdr:colOff>714375</xdr:colOff>
          <xdr:row>14</xdr:row>
          <xdr:rowOff>762000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361950</xdr:rowOff>
        </xdr:from>
        <xdr:to>
          <xdr:col>5</xdr:col>
          <xdr:colOff>714375</xdr:colOff>
          <xdr:row>15</xdr:row>
          <xdr:rowOff>714375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16</xdr:row>
          <xdr:rowOff>390525</xdr:rowOff>
        </xdr:from>
        <xdr:to>
          <xdr:col>5</xdr:col>
          <xdr:colOff>714375</xdr:colOff>
          <xdr:row>16</xdr:row>
          <xdr:rowOff>762000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17</xdr:row>
          <xdr:rowOff>409575</xdr:rowOff>
        </xdr:from>
        <xdr:to>
          <xdr:col>5</xdr:col>
          <xdr:colOff>742950</xdr:colOff>
          <xdr:row>17</xdr:row>
          <xdr:rowOff>790575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381000</xdr:rowOff>
        </xdr:from>
        <xdr:to>
          <xdr:col>5</xdr:col>
          <xdr:colOff>742950</xdr:colOff>
          <xdr:row>18</xdr:row>
          <xdr:rowOff>742950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19</xdr:row>
          <xdr:rowOff>409575</xdr:rowOff>
        </xdr:from>
        <xdr:to>
          <xdr:col>5</xdr:col>
          <xdr:colOff>742950</xdr:colOff>
          <xdr:row>19</xdr:row>
          <xdr:rowOff>790575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8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20</xdr:row>
          <xdr:rowOff>419100</xdr:rowOff>
        </xdr:from>
        <xdr:to>
          <xdr:col>5</xdr:col>
          <xdr:colOff>762000</xdr:colOff>
          <xdr:row>20</xdr:row>
          <xdr:rowOff>790575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8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371475</xdr:rowOff>
        </xdr:from>
        <xdr:to>
          <xdr:col>5</xdr:col>
          <xdr:colOff>714375</xdr:colOff>
          <xdr:row>21</xdr:row>
          <xdr:rowOff>714375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8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22</xdr:row>
          <xdr:rowOff>342900</xdr:rowOff>
        </xdr:from>
        <xdr:to>
          <xdr:col>5</xdr:col>
          <xdr:colOff>714375</xdr:colOff>
          <xdr:row>22</xdr:row>
          <xdr:rowOff>714375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8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23</xdr:row>
          <xdr:rowOff>381000</xdr:rowOff>
        </xdr:from>
        <xdr:to>
          <xdr:col>5</xdr:col>
          <xdr:colOff>714375</xdr:colOff>
          <xdr:row>23</xdr:row>
          <xdr:rowOff>742950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8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25</xdr:row>
          <xdr:rowOff>152400</xdr:rowOff>
        </xdr:from>
        <xdr:to>
          <xdr:col>5</xdr:col>
          <xdr:colOff>742950</xdr:colOff>
          <xdr:row>26</xdr:row>
          <xdr:rowOff>238125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8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152400</xdr:rowOff>
        </xdr:from>
        <xdr:to>
          <xdr:col>5</xdr:col>
          <xdr:colOff>742950</xdr:colOff>
          <xdr:row>30</xdr:row>
          <xdr:rowOff>238125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8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32</xdr:row>
          <xdr:rowOff>381000</xdr:rowOff>
        </xdr:from>
        <xdr:to>
          <xdr:col>5</xdr:col>
          <xdr:colOff>742950</xdr:colOff>
          <xdr:row>33</xdr:row>
          <xdr:rowOff>142875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8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419100</xdr:rowOff>
        </xdr:from>
        <xdr:to>
          <xdr:col>5</xdr:col>
          <xdr:colOff>762000</xdr:colOff>
          <xdr:row>35</xdr:row>
          <xdr:rowOff>190500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8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485775</xdr:rowOff>
        </xdr:from>
        <xdr:to>
          <xdr:col>5</xdr:col>
          <xdr:colOff>714375</xdr:colOff>
          <xdr:row>12</xdr:row>
          <xdr:rowOff>857250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8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16330</xdr:colOff>
      <xdr:row>7</xdr:row>
      <xdr:rowOff>342900</xdr:rowOff>
    </xdr:from>
    <xdr:to>
      <xdr:col>18</xdr:col>
      <xdr:colOff>-1</xdr:colOff>
      <xdr:row>9</xdr:row>
      <xdr:rowOff>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4780080" y="2009775"/>
          <a:ext cx="13823494" cy="72390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事業活動の見える化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  <a:p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診断結果を見える化しましょう。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の結果を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以下</a:t>
          </a:r>
          <a:r>
            <a:rPr lang="ja-JP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の点数表に応じて計算してください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13</xdr:col>
      <xdr:colOff>661305</xdr:colOff>
      <xdr:row>18</xdr:row>
      <xdr:rowOff>226693</xdr:rowOff>
    </xdr:from>
    <xdr:to>
      <xdr:col>17</xdr:col>
      <xdr:colOff>1603374</xdr:colOff>
      <xdr:row>20</xdr:row>
      <xdr:rowOff>0</xdr:rowOff>
    </xdr:to>
    <xdr:sp macro="" textlink="">
      <xdr:nvSpPr>
        <xdr:cNvPr id="19" name="テキスト ボックス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>
          <a:spLocks noChangeArrowheads="1"/>
        </xdr:cNvSpPr>
      </xdr:nvSpPr>
      <xdr:spPr bwMode="auto">
        <a:xfrm>
          <a:off x="22244955" y="11504293"/>
          <a:ext cx="6314169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②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</a:t>
          </a:r>
          <a:r>
            <a:rPr lang="ja-JP" altLang="en-US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（色網掛け箇所）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に応じてレーダーチャートを完成させましょう。企業が事業を継続していく源である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「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人材・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組織」、「設備</a:t>
          </a:r>
          <a:r>
            <a:rPr lang="ja-JP" altLang="en-US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・サービス</a:t>
          </a:r>
          <a:r>
            <a:rPr lang="ja-JP" sz="1800" b="1" kern="100">
              <a:solidFill>
                <a:srgbClr val="FF00FF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」、「資金」、「情報」</a:t>
          </a:r>
          <a:r>
            <a:rPr lang="ja-JP" sz="1800" kern="100"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に分けて見える化しています。</a:t>
          </a:r>
        </a:p>
      </xdr:txBody>
    </xdr:sp>
    <xdr:clientData/>
  </xdr:twoCellAnchor>
  <xdr:twoCellAnchor>
    <xdr:from>
      <xdr:col>9</xdr:col>
      <xdr:colOff>14627</xdr:colOff>
      <xdr:row>9</xdr:row>
      <xdr:rowOff>142876</xdr:rowOff>
    </xdr:from>
    <xdr:to>
      <xdr:col>10</xdr:col>
      <xdr:colOff>229619</xdr:colOff>
      <xdr:row>10</xdr:row>
      <xdr:rowOff>428625</xdr:rowOff>
    </xdr:to>
    <xdr:sp macro="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14778377" y="2876551"/>
          <a:ext cx="1634217" cy="81914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点数表</a:t>
          </a:r>
          <a:r>
            <a:rPr kumimoji="1" lang="en-US" altLang="ja-JP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endParaRPr kumimoji="1" lang="ja-JP" altLang="en-US" sz="18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10</xdr:col>
      <xdr:colOff>1776413</xdr:colOff>
      <xdr:row>9</xdr:row>
      <xdr:rowOff>144006</xdr:rowOff>
    </xdr:from>
    <xdr:to>
      <xdr:col>18</xdr:col>
      <xdr:colOff>0</xdr:colOff>
      <xdr:row>10</xdr:row>
      <xdr:rowOff>419100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17959388" y="2877681"/>
          <a:ext cx="10644187" cy="80849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０→８点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</a:t>
          </a:r>
          <a:r>
            <a:rPr kumimoji="1" lang="ja-JP" altLang="en-US" sz="16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１→６点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２→４点</a:t>
          </a:r>
          <a:endParaRPr kumimoji="1" lang="en-US" altLang="ja-JP" sz="1600" b="1">
            <a:solidFill>
              <a:srgbClr val="FF00FF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３→２点　</a:t>
          </a:r>
          <a:r>
            <a:rPr kumimoji="1" lang="ja-JP" altLang="en-US" sz="16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チェック数 </a:t>
          </a:r>
          <a:r>
            <a:rPr kumimoji="1" lang="ja-JP" altLang="en-US" sz="16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４→０点</a:t>
          </a:r>
        </a:p>
      </xdr:txBody>
    </xdr:sp>
    <xdr:clientData/>
  </xdr:twoCellAnchor>
  <xdr:twoCellAnchor>
    <xdr:from>
      <xdr:col>10</xdr:col>
      <xdr:colOff>82435</xdr:colOff>
      <xdr:row>9</xdr:row>
      <xdr:rowOff>144008</xdr:rowOff>
    </xdr:from>
    <xdr:to>
      <xdr:col>11</xdr:col>
      <xdr:colOff>82436</xdr:colOff>
      <xdr:row>10</xdr:row>
      <xdr:rowOff>419100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16265410" y="2877683"/>
          <a:ext cx="1800226" cy="80849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8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8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各項目の</a:t>
          </a:r>
        </a:p>
      </xdr:txBody>
    </xdr:sp>
    <xdr:clientData/>
  </xdr:twoCellAnchor>
  <xdr:twoCellAnchor>
    <xdr:from>
      <xdr:col>9</xdr:col>
      <xdr:colOff>13608</xdr:colOff>
      <xdr:row>17</xdr:row>
      <xdr:rowOff>1</xdr:rowOff>
    </xdr:from>
    <xdr:to>
      <xdr:col>13</xdr:col>
      <xdr:colOff>0</xdr:colOff>
      <xdr:row>18</xdr:row>
      <xdr:rowOff>0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4777358" y="10115551"/>
          <a:ext cx="6806292" cy="1162049"/>
        </a:xfrm>
        <a:prstGeom prst="roundRect">
          <a:avLst/>
        </a:prstGeom>
        <a:solidFill>
          <a:srgbClr val="FF9933"/>
        </a:solidFill>
        <a:ln>
          <a:solidFill>
            <a:srgbClr val="FF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見える化①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事業活動ごとに見える化</a:t>
          </a:r>
        </a:p>
      </xdr:txBody>
    </xdr:sp>
    <xdr:clientData/>
  </xdr:twoCellAnchor>
  <xdr:twoCellAnchor>
    <xdr:from>
      <xdr:col>14</xdr:col>
      <xdr:colOff>0</xdr:colOff>
      <xdr:row>17</xdr:row>
      <xdr:rowOff>9527</xdr:rowOff>
    </xdr:from>
    <xdr:to>
      <xdr:col>18</xdr:col>
      <xdr:colOff>0</xdr:colOff>
      <xdr:row>18</xdr:row>
      <xdr:rowOff>1</xdr:rowOff>
    </xdr:to>
    <xdr:sp macro="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22240875" y="10125077"/>
          <a:ext cx="6362700" cy="1152524"/>
        </a:xfrm>
        <a:prstGeom prst="roundRect">
          <a:avLst/>
        </a:prstGeom>
        <a:solidFill>
          <a:srgbClr val="FF79D6"/>
        </a:solidFill>
        <a:ln>
          <a:solidFill>
            <a:srgbClr val="FF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見える化②</a:t>
          </a:r>
          <a:endParaRPr kumimoji="1" lang="en-US" altLang="ja-JP" sz="2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2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経営資源ごとに見える化</a:t>
          </a:r>
        </a:p>
      </xdr:txBody>
    </xdr:sp>
    <xdr:clientData/>
  </xdr:twoCellAnchor>
  <xdr:twoCellAnchor>
    <xdr:from>
      <xdr:col>10</xdr:col>
      <xdr:colOff>1042987</xdr:colOff>
      <xdr:row>16</xdr:row>
      <xdr:rowOff>21773</xdr:rowOff>
    </xdr:from>
    <xdr:to>
      <xdr:col>11</xdr:col>
      <xdr:colOff>804862</xdr:colOff>
      <xdr:row>16</xdr:row>
      <xdr:rowOff>1152526</xdr:rowOff>
    </xdr:to>
    <xdr:sp macro="" textlink="">
      <xdr:nvSpPr>
        <xdr:cNvPr id="25" name="フローチャート: 抜出し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 rot="10800000">
          <a:off x="17225962" y="8975273"/>
          <a:ext cx="1562100" cy="1130753"/>
        </a:xfrm>
        <a:prstGeom prst="flowChartExtra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43542</xdr:colOff>
      <xdr:row>18</xdr:row>
      <xdr:rowOff>226693</xdr:rowOff>
    </xdr:from>
    <xdr:to>
      <xdr:col>13</xdr:col>
      <xdr:colOff>13608</xdr:colOff>
      <xdr:row>20</xdr:row>
      <xdr:rowOff>0</xdr:rowOff>
    </xdr:to>
    <xdr:sp macro="" textlink="">
      <xdr:nvSpPr>
        <xdr:cNvPr id="26" name="テキスト ボックス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>
          <a:spLocks noChangeArrowheads="1"/>
        </xdr:cNvSpPr>
      </xdr:nvSpPr>
      <xdr:spPr bwMode="auto">
        <a:xfrm>
          <a:off x="14807292" y="11504293"/>
          <a:ext cx="6789966" cy="2097407"/>
        </a:xfrm>
        <a:prstGeom prst="wedgeRoundRectCallout">
          <a:avLst>
            <a:gd name="adj1" fmla="val -44301"/>
            <a:gd name="adj2" fmla="val 28472"/>
            <a:gd name="adj3" fmla="val 16667"/>
          </a:avLst>
        </a:prstGeom>
        <a:solidFill>
          <a:srgbClr val="FFFFFF"/>
        </a:solidFill>
        <a:ln w="9525">
          <a:solidFill>
            <a:schemeClr val="tx1"/>
          </a:solidFill>
          <a:prstDash val="dash"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51435" indent="-6350" algn="l">
            <a:spcAft>
              <a:spcPts val="0"/>
            </a:spcAft>
          </a:pPr>
          <a:r>
            <a:rPr lang="ja-JP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見える化</a:t>
          </a:r>
          <a:r>
            <a:rPr lang="ja-JP" altLang="en-US" sz="1800" b="1" kern="100">
              <a:solidFill>
                <a:srgbClr val="FF66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①</a:t>
          </a:r>
          <a:r>
            <a:rPr lang="ja-JP" altLang="en-US" sz="1800" b="0" kern="100">
              <a:solidFill>
                <a:sysClr val="windowText" lastClr="000000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Times New Roman" panose="02020603050405020304" pitchFamily="18" charset="0"/>
            </a:rPr>
            <a:t>の点数（色網掛け箇所）に応じてレーダーチャートを完成させましょう。</a:t>
          </a:r>
          <a:endParaRPr lang="ja-JP" sz="1800" b="0" kern="100">
            <a:solidFill>
              <a:sysClr val="windowText" lastClr="000000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</xdr:colOff>
      <xdr:row>7</xdr:row>
      <xdr:rowOff>317729</xdr:rowOff>
    </xdr:from>
    <xdr:to>
      <xdr:col>4</xdr:col>
      <xdr:colOff>7658101</xdr:colOff>
      <xdr:row>9</xdr:row>
      <xdr:rowOff>4762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>
          <a:off x="504827" y="1984604"/>
          <a:ext cx="12220574" cy="75383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【</a:t>
          </a:r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診断チェック</a:t>
          </a:r>
          <a:r>
            <a:rPr lang="en-US" altLang="ja-JP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】</a:t>
          </a:r>
        </a:p>
        <a:p>
          <a:r>
            <a:rPr lang="ja-JP" altLang="en-US" sz="1800" b="1">
              <a:solidFill>
                <a:schemeClr val="dk1"/>
              </a:solidFill>
              <a:effectLst/>
              <a:latin typeface="HG丸ｺﾞｼｯｸM-PRO" panose="020F0600000000000000" pitchFamily="50" charset="-128"/>
              <a:ea typeface="HG丸ｺﾞｼｯｸM-PRO" panose="020F0600000000000000" pitchFamily="50" charset="-128"/>
              <a:cs typeface="+mn-cs"/>
            </a:rPr>
            <a:t>経営の状況を踏まえ、各項目の質問に該当する場合はチェックをつけてください。</a:t>
          </a:r>
          <a:endParaRPr lang="ja-JP" altLang="ja-JP" sz="1800" b="1">
            <a:solidFill>
              <a:schemeClr val="dk1"/>
            </a:solidFill>
            <a:effectLst/>
            <a:latin typeface="HG丸ｺﾞｼｯｸM-PRO" panose="020F0600000000000000" pitchFamily="50" charset="-128"/>
            <a:ea typeface="HG丸ｺﾞｼｯｸM-PRO" panose="020F0600000000000000" pitchFamily="50" charset="-128"/>
            <a:cs typeface="+mn-cs"/>
          </a:endParaRPr>
        </a:p>
      </xdr:txBody>
    </xdr:sp>
    <xdr:clientData/>
  </xdr:twoCellAnchor>
  <xdr:twoCellAnchor>
    <xdr:from>
      <xdr:col>31</xdr:col>
      <xdr:colOff>6803</xdr:colOff>
      <xdr:row>23</xdr:row>
      <xdr:rowOff>248556</xdr:rowOff>
    </xdr:from>
    <xdr:to>
      <xdr:col>40</xdr:col>
      <xdr:colOff>19050</xdr:colOff>
      <xdr:row>23</xdr:row>
      <xdr:rowOff>1114424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44431403" y="17336406"/>
          <a:ext cx="13471072" cy="865868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日本公庫に、具体的にご相談したいことやご希望されることがございましたら、以下にチェックをつけていただきお取引支店までご提出ください。</a:t>
          </a:r>
        </a:p>
      </xdr:txBody>
    </xdr:sp>
    <xdr:clientData/>
  </xdr:twoCellAnchor>
  <xdr:twoCellAnchor>
    <xdr:from>
      <xdr:col>31</xdr:col>
      <xdr:colOff>0</xdr:colOff>
      <xdr:row>32</xdr:row>
      <xdr:rowOff>95248</xdr:rowOff>
    </xdr:from>
    <xdr:to>
      <xdr:col>40</xdr:col>
      <xdr:colOff>0</xdr:colOff>
      <xdr:row>32</xdr:row>
      <xdr:rowOff>512308</xdr:rowOff>
    </xdr:to>
    <xdr:sp macro="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44424600" y="20631148"/>
          <a:ext cx="13458825" cy="417060"/>
        </a:xfrm>
        <a:prstGeom prst="roundRect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rgbClr val="FF00FF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その他、ご要望がございましたらご記載ください。</a:t>
          </a:r>
        </a:p>
      </xdr:txBody>
    </xdr:sp>
    <xdr:clientData/>
  </xdr:twoCellAnchor>
  <xdr:twoCellAnchor>
    <xdr:from>
      <xdr:col>15</xdr:col>
      <xdr:colOff>1108982</xdr:colOff>
      <xdr:row>4</xdr:row>
      <xdr:rowOff>158069</xdr:rowOff>
    </xdr:from>
    <xdr:to>
      <xdr:col>16</xdr:col>
      <xdr:colOff>1578882</xdr:colOff>
      <xdr:row>7</xdr:row>
      <xdr:rowOff>8390</xdr:rowOff>
    </xdr:to>
    <xdr:sp macro="" textlink="">
      <xdr:nvSpPr>
        <xdr:cNvPr id="30" name="矢印: 五方向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24769082" y="1110569"/>
          <a:ext cx="2117725" cy="564696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16</xdr:col>
      <xdr:colOff>1604282</xdr:colOff>
      <xdr:row>4</xdr:row>
      <xdr:rowOff>158069</xdr:rowOff>
    </xdr:from>
    <xdr:to>
      <xdr:col>18</xdr:col>
      <xdr:colOff>429532</xdr:colOff>
      <xdr:row>7</xdr:row>
      <xdr:rowOff>8390</xdr:rowOff>
    </xdr:to>
    <xdr:sp macro="" textlink="">
      <xdr:nvSpPr>
        <xdr:cNvPr id="31" name="矢印: 五方向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26912207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20</xdr:col>
      <xdr:colOff>1638301</xdr:colOff>
      <xdr:row>0</xdr:row>
      <xdr:rowOff>146503</xdr:rowOff>
    </xdr:from>
    <xdr:to>
      <xdr:col>27</xdr:col>
      <xdr:colOff>1600201</xdr:colOff>
      <xdr:row>3</xdr:row>
      <xdr:rowOff>228601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1251526" y="146503"/>
          <a:ext cx="10353675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26</xdr:col>
      <xdr:colOff>1089932</xdr:colOff>
      <xdr:row>4</xdr:row>
      <xdr:rowOff>153306</xdr:rowOff>
    </xdr:from>
    <xdr:to>
      <xdr:col>27</xdr:col>
      <xdr:colOff>1559832</xdr:colOff>
      <xdr:row>7</xdr:row>
      <xdr:rowOff>3627</xdr:rowOff>
    </xdr:to>
    <xdr:sp macro="" textlink="">
      <xdr:nvSpPr>
        <xdr:cNvPr id="33" name="矢印: 五方向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39447107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27</xdr:col>
      <xdr:colOff>1585232</xdr:colOff>
      <xdr:row>4</xdr:row>
      <xdr:rowOff>153306</xdr:rowOff>
    </xdr:from>
    <xdr:to>
      <xdr:col>29</xdr:col>
      <xdr:colOff>410482</xdr:colOff>
      <xdr:row>7</xdr:row>
      <xdr:rowOff>3627</xdr:rowOff>
    </xdr:to>
    <xdr:sp macro="" textlink="">
      <xdr:nvSpPr>
        <xdr:cNvPr id="34" name="矢印: 五方向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41590232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37</xdr:col>
      <xdr:colOff>766082</xdr:colOff>
      <xdr:row>4</xdr:row>
      <xdr:rowOff>153306</xdr:rowOff>
    </xdr:from>
    <xdr:to>
      <xdr:col>38</xdr:col>
      <xdr:colOff>1388382</xdr:colOff>
      <xdr:row>7</xdr:row>
      <xdr:rowOff>3627</xdr:rowOff>
    </xdr:to>
    <xdr:sp macro="" textlink="">
      <xdr:nvSpPr>
        <xdr:cNvPr id="35" name="矢印: 五方向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>
        <a:xfrm>
          <a:off x="54163232" y="1105806"/>
          <a:ext cx="2117725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38</xdr:col>
      <xdr:colOff>1413782</xdr:colOff>
      <xdr:row>4</xdr:row>
      <xdr:rowOff>153306</xdr:rowOff>
    </xdr:from>
    <xdr:to>
      <xdr:col>40</xdr:col>
      <xdr:colOff>543832</xdr:colOff>
      <xdr:row>7</xdr:row>
      <xdr:rowOff>3627</xdr:rowOff>
    </xdr:to>
    <xdr:sp macro="" textlink="">
      <xdr:nvSpPr>
        <xdr:cNvPr id="36" name="矢印: 五方向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56306357" y="1105806"/>
          <a:ext cx="2120900" cy="564696"/>
        </a:xfrm>
        <a:prstGeom prst="homePlat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10</xdr:col>
      <xdr:colOff>361951</xdr:colOff>
      <xdr:row>0</xdr:row>
      <xdr:rowOff>156027</xdr:rowOff>
    </xdr:from>
    <xdr:to>
      <xdr:col>17</xdr:col>
      <xdr:colOff>361951</xdr:colOff>
      <xdr:row>4</xdr:row>
      <xdr:rowOff>0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>
        <a:xfrm>
          <a:off x="16544926" y="156027"/>
          <a:ext cx="10772775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1</xdr:col>
      <xdr:colOff>1200151</xdr:colOff>
      <xdr:row>0</xdr:row>
      <xdr:rowOff>136977</xdr:rowOff>
    </xdr:from>
    <xdr:to>
      <xdr:col>4</xdr:col>
      <xdr:colOff>7448551</xdr:colOff>
      <xdr:row>3</xdr:row>
      <xdr:rowOff>228600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>
          <a:off x="1704976" y="136977"/>
          <a:ext cx="10810875" cy="805998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　自己診断チェック</a:t>
          </a:r>
        </a:p>
      </xdr:txBody>
    </xdr:sp>
    <xdr:clientData/>
  </xdr:twoCellAnchor>
  <xdr:twoCellAnchor>
    <xdr:from>
      <xdr:col>8</xdr:col>
      <xdr:colOff>209551</xdr:colOff>
      <xdr:row>0</xdr:row>
      <xdr:rowOff>156027</xdr:rowOff>
    </xdr:from>
    <xdr:to>
      <xdr:col>9</xdr:col>
      <xdr:colOff>514350</xdr:colOff>
      <xdr:row>4</xdr:row>
      <xdr:rowOff>0</xdr:rowOff>
    </xdr:to>
    <xdr:sp macro="" textlink="">
      <xdr:nvSpPr>
        <xdr:cNvPr id="39" name="四角形: 角を丸くする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14468476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Ｐ４</a:t>
          </a:r>
        </a:p>
      </xdr:txBody>
    </xdr:sp>
    <xdr:clientData/>
  </xdr:twoCellAnchor>
  <xdr:twoCellAnchor>
    <xdr:from>
      <xdr:col>0</xdr:col>
      <xdr:colOff>304801</xdr:colOff>
      <xdr:row>0</xdr:row>
      <xdr:rowOff>156027</xdr:rowOff>
    </xdr:from>
    <xdr:to>
      <xdr:col>1</xdr:col>
      <xdr:colOff>609600</xdr:colOff>
      <xdr:row>4</xdr:row>
      <xdr:rowOff>0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304801" y="156027"/>
          <a:ext cx="809624" cy="796473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Ｐ３</a:t>
          </a:r>
        </a:p>
      </xdr:txBody>
    </xdr:sp>
    <xdr:clientData/>
  </xdr:twoCellAnchor>
  <xdr:twoCellAnchor>
    <xdr:from>
      <xdr:col>32</xdr:col>
      <xdr:colOff>95251</xdr:colOff>
      <xdr:row>0</xdr:row>
      <xdr:rowOff>156027</xdr:rowOff>
    </xdr:from>
    <xdr:to>
      <xdr:col>38</xdr:col>
      <xdr:colOff>1485901</xdr:colOff>
      <xdr:row>4</xdr:row>
      <xdr:rowOff>0</xdr:rowOff>
    </xdr:to>
    <xdr:sp macro="" textlink="">
      <xdr:nvSpPr>
        <xdr:cNvPr id="41" name="四角形: 角を丸くする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>
          <a:off x="46015276" y="156027"/>
          <a:ext cx="10363200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　経営状況「気付き」ノート</a:t>
          </a:r>
        </a:p>
      </xdr:txBody>
    </xdr:sp>
    <xdr:clientData/>
  </xdr:twoCellAnchor>
  <xdr:twoCellAnchor>
    <xdr:from>
      <xdr:col>19</xdr:col>
      <xdr:colOff>171451</xdr:colOff>
      <xdr:row>0</xdr:row>
      <xdr:rowOff>146503</xdr:rowOff>
    </xdr:from>
    <xdr:to>
      <xdr:col>20</xdr:col>
      <xdr:colOff>476250</xdr:colOff>
      <xdr:row>3</xdr:row>
      <xdr:rowOff>228601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>
        <a:xfrm>
          <a:off x="29279851" y="146503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Ｐ６</a:t>
          </a:r>
        </a:p>
      </xdr:txBody>
    </xdr:sp>
    <xdr:clientData/>
  </xdr:twoCellAnchor>
  <xdr:twoCellAnchor>
    <xdr:from>
      <xdr:col>30</xdr:col>
      <xdr:colOff>342901</xdr:colOff>
      <xdr:row>0</xdr:row>
      <xdr:rowOff>156027</xdr:rowOff>
    </xdr:from>
    <xdr:to>
      <xdr:col>31</xdr:col>
      <xdr:colOff>533400</xdr:colOff>
      <xdr:row>4</xdr:row>
      <xdr:rowOff>0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>
        <a:xfrm>
          <a:off x="44148376" y="156027"/>
          <a:ext cx="809624" cy="79647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Ｐ</a:t>
          </a:r>
          <a:r>
            <a:rPr kumimoji="1" lang="en-US" altLang="ja-JP" sz="20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7</a:t>
          </a:r>
          <a:endParaRPr kumimoji="1" lang="ja-JP" altLang="en-US" sz="20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  <xdr:twoCellAnchor>
    <xdr:from>
      <xdr:col>4</xdr:col>
      <xdr:colOff>4823732</xdr:colOff>
      <xdr:row>4</xdr:row>
      <xdr:rowOff>124731</xdr:rowOff>
    </xdr:from>
    <xdr:to>
      <xdr:col>4</xdr:col>
      <xdr:colOff>6950982</xdr:colOff>
      <xdr:row>6</xdr:row>
      <xdr:rowOff>222702</xdr:rowOff>
    </xdr:to>
    <xdr:sp macro="" textlink="">
      <xdr:nvSpPr>
        <xdr:cNvPr id="44" name="矢印: 五方向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>
        <a:xfrm>
          <a:off x="9891032" y="1077231"/>
          <a:ext cx="2127250" cy="574221"/>
        </a:xfrm>
        <a:prstGeom prst="homePlat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ステップ①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自己診断チェック</a:t>
          </a:r>
        </a:p>
      </xdr:txBody>
    </xdr:sp>
    <xdr:clientData/>
  </xdr:twoCellAnchor>
  <xdr:twoCellAnchor>
    <xdr:from>
      <xdr:col>4</xdr:col>
      <xdr:colOff>7000195</xdr:colOff>
      <xdr:row>4</xdr:row>
      <xdr:rowOff>158069</xdr:rowOff>
    </xdr:from>
    <xdr:to>
      <xdr:col>7</xdr:col>
      <xdr:colOff>434295</xdr:colOff>
      <xdr:row>7</xdr:row>
      <xdr:rowOff>8390</xdr:rowOff>
    </xdr:to>
    <xdr:sp macro="" textlink="">
      <xdr:nvSpPr>
        <xdr:cNvPr id="45" name="矢印: 五方向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>
        <a:xfrm>
          <a:off x="12067495" y="1110569"/>
          <a:ext cx="2120900" cy="564696"/>
        </a:xfrm>
        <a:prstGeom prst="homePlat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ステップ②</a:t>
          </a:r>
          <a:endParaRPr kumimoji="1" lang="en-US" altLang="ja-JP" sz="11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経営状況「気付きノート」</a:t>
          </a:r>
        </a:p>
      </xdr:txBody>
    </xdr:sp>
    <xdr:clientData/>
  </xdr:twoCellAnchor>
  <xdr:twoCellAnchor>
    <xdr:from>
      <xdr:col>15</xdr:col>
      <xdr:colOff>890587</xdr:colOff>
      <xdr:row>16</xdr:row>
      <xdr:rowOff>21773</xdr:rowOff>
    </xdr:from>
    <xdr:to>
      <xdr:col>16</xdr:col>
      <xdr:colOff>804862</xdr:colOff>
      <xdr:row>16</xdr:row>
      <xdr:rowOff>1152526</xdr:rowOff>
    </xdr:to>
    <xdr:sp macro="" textlink="">
      <xdr:nvSpPr>
        <xdr:cNvPr id="46" name="フローチャート: 抜出し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>
        <a:xfrm rot="10800000">
          <a:off x="24550687" y="8975273"/>
          <a:ext cx="1562100" cy="1130753"/>
        </a:xfrm>
        <a:prstGeom prst="flowChartExtract">
          <a:avLst/>
        </a:prstGeom>
        <a:solidFill>
          <a:srgbClr val="FF79D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24</xdr:row>
          <xdr:rowOff>76200</xdr:rowOff>
        </xdr:from>
        <xdr:to>
          <xdr:col>31</xdr:col>
          <xdr:colOff>1219200</xdr:colOff>
          <xdr:row>25</xdr:row>
          <xdr:rowOff>171450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8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26</xdr:row>
          <xdr:rowOff>95250</xdr:rowOff>
        </xdr:from>
        <xdr:to>
          <xdr:col>31</xdr:col>
          <xdr:colOff>1219200</xdr:colOff>
          <xdr:row>27</xdr:row>
          <xdr:rowOff>190500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8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30</xdr:row>
          <xdr:rowOff>95250</xdr:rowOff>
        </xdr:from>
        <xdr:to>
          <xdr:col>31</xdr:col>
          <xdr:colOff>1219200</xdr:colOff>
          <xdr:row>31</xdr:row>
          <xdr:rowOff>190500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8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619125</xdr:colOff>
          <xdr:row>28</xdr:row>
          <xdr:rowOff>104775</xdr:rowOff>
        </xdr:from>
        <xdr:to>
          <xdr:col>31</xdr:col>
          <xdr:colOff>1219200</xdr:colOff>
          <xdr:row>29</xdr:row>
          <xdr:rowOff>190500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8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285750</xdr:colOff>
      <xdr:row>21</xdr:row>
      <xdr:rowOff>0</xdr:rowOff>
    </xdr:from>
    <xdr:to>
      <xdr:col>12</xdr:col>
      <xdr:colOff>1785937</xdr:colOff>
      <xdr:row>36</xdr:row>
      <xdr:rowOff>9525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119062</xdr:colOff>
      <xdr:row>21</xdr:row>
      <xdr:rowOff>23812</xdr:rowOff>
    </xdr:from>
    <xdr:to>
      <xdr:col>18</xdr:col>
      <xdr:colOff>228600</xdr:colOff>
      <xdr:row>36</xdr:row>
      <xdr:rowOff>9525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309562</xdr:colOff>
      <xdr:row>9</xdr:row>
      <xdr:rowOff>113165</xdr:rowOff>
    </xdr:from>
    <xdr:to>
      <xdr:col>4</xdr:col>
      <xdr:colOff>5262562</xdr:colOff>
      <xdr:row>10</xdr:row>
      <xdr:rowOff>395288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>
        <a:xfrm>
          <a:off x="3500437" y="2846840"/>
          <a:ext cx="6829425" cy="815523"/>
        </a:xfrm>
        <a:prstGeom prst="roundRect">
          <a:avLst/>
        </a:prstGeom>
        <a:solidFill>
          <a:srgbClr val="57D3FF"/>
        </a:solidFill>
        <a:ln>
          <a:solidFill>
            <a:srgbClr val="57D3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運輸業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5762625</xdr:colOff>
          <xdr:row>9</xdr:row>
          <xdr:rowOff>161925</xdr:rowOff>
        </xdr:from>
        <xdr:to>
          <xdr:col>6</xdr:col>
          <xdr:colOff>0</xdr:colOff>
          <xdr:row>10</xdr:row>
          <xdr:rowOff>409575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8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チェッククリア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18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9.x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17" Type="http://schemas.openxmlformats.org/officeDocument/2006/relationships/ctrlProp" Target="../ctrlProps/ctrlProp35.xml"/><Relationship Id="rId25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4.xml"/><Relationship Id="rId20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24" Type="http://schemas.openxmlformats.org/officeDocument/2006/relationships/ctrlProp" Target="../ctrlProps/ctrlProp42.xml"/><Relationship Id="rId5" Type="http://schemas.openxmlformats.org/officeDocument/2006/relationships/ctrlProp" Target="../ctrlProps/ctrlProp23.xml"/><Relationship Id="rId15" Type="http://schemas.openxmlformats.org/officeDocument/2006/relationships/ctrlProp" Target="../ctrlProps/ctrlProp33.xml"/><Relationship Id="rId23" Type="http://schemas.openxmlformats.org/officeDocument/2006/relationships/ctrlProp" Target="../ctrlProps/ctrlProp41.xml"/><Relationship Id="rId10" Type="http://schemas.openxmlformats.org/officeDocument/2006/relationships/ctrlProp" Target="../ctrlProps/ctrlProp28.xml"/><Relationship Id="rId19" Type="http://schemas.openxmlformats.org/officeDocument/2006/relationships/ctrlProp" Target="../ctrlProps/ctrlProp37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Relationship Id="rId22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0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omments" Target="../comments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81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omments" Target="../comments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6.xml"/><Relationship Id="rId20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13" Type="http://schemas.openxmlformats.org/officeDocument/2006/relationships/ctrlProp" Target="../ctrlProps/ctrlProp94.xml"/><Relationship Id="rId18" Type="http://schemas.openxmlformats.org/officeDocument/2006/relationships/ctrlProp" Target="../ctrlProps/ctrlProp9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2.xml"/><Relationship Id="rId7" Type="http://schemas.openxmlformats.org/officeDocument/2006/relationships/ctrlProp" Target="../ctrlProps/ctrlProp88.xml"/><Relationship Id="rId12" Type="http://schemas.openxmlformats.org/officeDocument/2006/relationships/ctrlProp" Target="../ctrlProps/ctrlProp93.xml"/><Relationship Id="rId17" Type="http://schemas.openxmlformats.org/officeDocument/2006/relationships/ctrlProp" Target="../ctrlProps/ctrlProp98.xml"/><Relationship Id="rId25" Type="http://schemas.openxmlformats.org/officeDocument/2006/relationships/comments" Target="../comments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97.xml"/><Relationship Id="rId20" Type="http://schemas.openxmlformats.org/officeDocument/2006/relationships/ctrlProp" Target="../ctrlProps/ctrlProp10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7.xml"/><Relationship Id="rId11" Type="http://schemas.openxmlformats.org/officeDocument/2006/relationships/ctrlProp" Target="../ctrlProps/ctrlProp92.xml"/><Relationship Id="rId24" Type="http://schemas.openxmlformats.org/officeDocument/2006/relationships/ctrlProp" Target="../ctrlProps/ctrlProp105.xml"/><Relationship Id="rId5" Type="http://schemas.openxmlformats.org/officeDocument/2006/relationships/ctrlProp" Target="../ctrlProps/ctrlProp86.xml"/><Relationship Id="rId15" Type="http://schemas.openxmlformats.org/officeDocument/2006/relationships/ctrlProp" Target="../ctrlProps/ctrlProp96.xml"/><Relationship Id="rId23" Type="http://schemas.openxmlformats.org/officeDocument/2006/relationships/ctrlProp" Target="../ctrlProps/ctrlProp104.xml"/><Relationship Id="rId10" Type="http://schemas.openxmlformats.org/officeDocument/2006/relationships/ctrlProp" Target="../ctrlProps/ctrlProp91.xml"/><Relationship Id="rId19" Type="http://schemas.openxmlformats.org/officeDocument/2006/relationships/ctrlProp" Target="../ctrlProps/ctrlProp100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Relationship Id="rId14" Type="http://schemas.openxmlformats.org/officeDocument/2006/relationships/ctrlProp" Target="../ctrlProps/ctrlProp95.xml"/><Relationship Id="rId22" Type="http://schemas.openxmlformats.org/officeDocument/2006/relationships/ctrlProp" Target="../ctrlProps/ctrlProp10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13" Type="http://schemas.openxmlformats.org/officeDocument/2006/relationships/ctrlProp" Target="../ctrlProps/ctrlProp115.xml"/><Relationship Id="rId18" Type="http://schemas.openxmlformats.org/officeDocument/2006/relationships/ctrlProp" Target="../ctrlProps/ctrlProp120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123.xml"/><Relationship Id="rId7" Type="http://schemas.openxmlformats.org/officeDocument/2006/relationships/ctrlProp" Target="../ctrlProps/ctrlProp109.xml"/><Relationship Id="rId12" Type="http://schemas.openxmlformats.org/officeDocument/2006/relationships/ctrlProp" Target="../ctrlProps/ctrlProp114.xml"/><Relationship Id="rId17" Type="http://schemas.openxmlformats.org/officeDocument/2006/relationships/ctrlProp" Target="../ctrlProps/ctrlProp119.xml"/><Relationship Id="rId25" Type="http://schemas.openxmlformats.org/officeDocument/2006/relationships/comments" Target="../comments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8.xml"/><Relationship Id="rId20" Type="http://schemas.openxmlformats.org/officeDocument/2006/relationships/ctrlProp" Target="../ctrlProps/ctrlProp1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24" Type="http://schemas.openxmlformats.org/officeDocument/2006/relationships/ctrlProp" Target="../ctrlProps/ctrlProp126.xml"/><Relationship Id="rId5" Type="http://schemas.openxmlformats.org/officeDocument/2006/relationships/ctrlProp" Target="../ctrlProps/ctrlProp107.xml"/><Relationship Id="rId15" Type="http://schemas.openxmlformats.org/officeDocument/2006/relationships/ctrlProp" Target="../ctrlProps/ctrlProp117.xml"/><Relationship Id="rId23" Type="http://schemas.openxmlformats.org/officeDocument/2006/relationships/ctrlProp" Target="../ctrlProps/ctrlProp125.xml"/><Relationship Id="rId10" Type="http://schemas.openxmlformats.org/officeDocument/2006/relationships/ctrlProp" Target="../ctrlProps/ctrlProp112.xml"/><Relationship Id="rId19" Type="http://schemas.openxmlformats.org/officeDocument/2006/relationships/ctrlProp" Target="../ctrlProps/ctrlProp121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Relationship Id="rId14" Type="http://schemas.openxmlformats.org/officeDocument/2006/relationships/ctrlProp" Target="../ctrlProps/ctrlProp116.xml"/><Relationship Id="rId22" Type="http://schemas.openxmlformats.org/officeDocument/2006/relationships/ctrlProp" Target="../ctrlProps/ctrlProp1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omments" Target="../comments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2.xml"/><Relationship Id="rId13" Type="http://schemas.openxmlformats.org/officeDocument/2006/relationships/ctrlProp" Target="../ctrlProps/ctrlProp157.xml"/><Relationship Id="rId18" Type="http://schemas.openxmlformats.org/officeDocument/2006/relationships/ctrlProp" Target="../ctrlProps/ctrlProp16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165.xml"/><Relationship Id="rId7" Type="http://schemas.openxmlformats.org/officeDocument/2006/relationships/ctrlProp" Target="../ctrlProps/ctrlProp151.xml"/><Relationship Id="rId12" Type="http://schemas.openxmlformats.org/officeDocument/2006/relationships/ctrlProp" Target="../ctrlProps/ctrlProp156.xml"/><Relationship Id="rId17" Type="http://schemas.openxmlformats.org/officeDocument/2006/relationships/ctrlProp" Target="../ctrlProps/ctrlProp161.xml"/><Relationship Id="rId25" Type="http://schemas.openxmlformats.org/officeDocument/2006/relationships/comments" Target="../comments8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60.xml"/><Relationship Id="rId20" Type="http://schemas.openxmlformats.org/officeDocument/2006/relationships/ctrlProp" Target="../ctrlProps/ctrlProp16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50.xml"/><Relationship Id="rId11" Type="http://schemas.openxmlformats.org/officeDocument/2006/relationships/ctrlProp" Target="../ctrlProps/ctrlProp155.xml"/><Relationship Id="rId24" Type="http://schemas.openxmlformats.org/officeDocument/2006/relationships/ctrlProp" Target="../ctrlProps/ctrlProp168.xml"/><Relationship Id="rId5" Type="http://schemas.openxmlformats.org/officeDocument/2006/relationships/ctrlProp" Target="../ctrlProps/ctrlProp149.xml"/><Relationship Id="rId15" Type="http://schemas.openxmlformats.org/officeDocument/2006/relationships/ctrlProp" Target="../ctrlProps/ctrlProp159.xml"/><Relationship Id="rId23" Type="http://schemas.openxmlformats.org/officeDocument/2006/relationships/ctrlProp" Target="../ctrlProps/ctrlProp167.xml"/><Relationship Id="rId10" Type="http://schemas.openxmlformats.org/officeDocument/2006/relationships/ctrlProp" Target="../ctrlProps/ctrlProp154.xml"/><Relationship Id="rId19" Type="http://schemas.openxmlformats.org/officeDocument/2006/relationships/ctrlProp" Target="../ctrlProps/ctrlProp163.xml"/><Relationship Id="rId4" Type="http://schemas.openxmlformats.org/officeDocument/2006/relationships/ctrlProp" Target="../ctrlProps/ctrlProp148.xml"/><Relationship Id="rId9" Type="http://schemas.openxmlformats.org/officeDocument/2006/relationships/ctrlProp" Target="../ctrlProps/ctrlProp153.xml"/><Relationship Id="rId14" Type="http://schemas.openxmlformats.org/officeDocument/2006/relationships/ctrlProp" Target="../ctrlProps/ctrlProp158.xml"/><Relationship Id="rId22" Type="http://schemas.openxmlformats.org/officeDocument/2006/relationships/ctrlProp" Target="../ctrlProps/ctrlProp16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3.xml"/><Relationship Id="rId13" Type="http://schemas.openxmlformats.org/officeDocument/2006/relationships/ctrlProp" Target="../ctrlProps/ctrlProp178.xml"/><Relationship Id="rId18" Type="http://schemas.openxmlformats.org/officeDocument/2006/relationships/ctrlProp" Target="../ctrlProps/ctrlProp183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186.xml"/><Relationship Id="rId7" Type="http://schemas.openxmlformats.org/officeDocument/2006/relationships/ctrlProp" Target="../ctrlProps/ctrlProp172.xml"/><Relationship Id="rId12" Type="http://schemas.openxmlformats.org/officeDocument/2006/relationships/ctrlProp" Target="../ctrlProps/ctrlProp177.xml"/><Relationship Id="rId17" Type="http://schemas.openxmlformats.org/officeDocument/2006/relationships/ctrlProp" Target="../ctrlProps/ctrlProp182.xml"/><Relationship Id="rId25" Type="http://schemas.openxmlformats.org/officeDocument/2006/relationships/comments" Target="../comments9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81.xml"/><Relationship Id="rId20" Type="http://schemas.openxmlformats.org/officeDocument/2006/relationships/ctrlProp" Target="../ctrlProps/ctrlProp18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1.xml"/><Relationship Id="rId11" Type="http://schemas.openxmlformats.org/officeDocument/2006/relationships/ctrlProp" Target="../ctrlProps/ctrlProp176.xml"/><Relationship Id="rId24" Type="http://schemas.openxmlformats.org/officeDocument/2006/relationships/ctrlProp" Target="../ctrlProps/ctrlProp189.xml"/><Relationship Id="rId5" Type="http://schemas.openxmlformats.org/officeDocument/2006/relationships/ctrlProp" Target="../ctrlProps/ctrlProp170.xml"/><Relationship Id="rId15" Type="http://schemas.openxmlformats.org/officeDocument/2006/relationships/ctrlProp" Target="../ctrlProps/ctrlProp180.xml"/><Relationship Id="rId23" Type="http://schemas.openxmlformats.org/officeDocument/2006/relationships/ctrlProp" Target="../ctrlProps/ctrlProp188.xml"/><Relationship Id="rId10" Type="http://schemas.openxmlformats.org/officeDocument/2006/relationships/ctrlProp" Target="../ctrlProps/ctrlProp175.xml"/><Relationship Id="rId19" Type="http://schemas.openxmlformats.org/officeDocument/2006/relationships/ctrlProp" Target="../ctrlProps/ctrlProp184.xml"/><Relationship Id="rId4" Type="http://schemas.openxmlformats.org/officeDocument/2006/relationships/ctrlProp" Target="../ctrlProps/ctrlProp169.xml"/><Relationship Id="rId9" Type="http://schemas.openxmlformats.org/officeDocument/2006/relationships/ctrlProp" Target="../ctrlProps/ctrlProp174.xml"/><Relationship Id="rId14" Type="http://schemas.openxmlformats.org/officeDocument/2006/relationships/ctrlProp" Target="../ctrlProps/ctrlProp179.xml"/><Relationship Id="rId22" Type="http://schemas.openxmlformats.org/officeDocument/2006/relationships/ctrlProp" Target="../ctrlProps/ctrlProp1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CEDD2-51DA-4200-9505-381876F32F89}">
  <sheetPr codeName="Sheet8">
    <tabColor rgb="FF00B050"/>
  </sheetPr>
  <dimension ref="A1:AN46"/>
  <sheetViews>
    <sheetView view="pageBreakPreview" zoomScale="40" zoomScaleNormal="100" zoomScaleSheetLayoutView="40" workbookViewId="0">
      <pane xSplit="18615" topLeftCell="T1"/>
      <selection activeCell="F18" sqref="F18"/>
      <selection pane="topRight" activeCell="F13" sqref="F13"/>
    </sheetView>
  </sheetViews>
  <sheetFormatPr defaultRowHeight="18.75" x14ac:dyDescent="0.4"/>
  <cols>
    <col min="1" max="1" width="6.625" style="67" customWidth="1"/>
    <col min="2" max="2" width="16.625" style="67" customWidth="1"/>
    <col min="3" max="3" width="18.625" style="67" customWidth="1"/>
    <col min="4" max="4" width="24.625" style="67" customWidth="1"/>
    <col min="5" max="5" width="100.625" style="67" customWidth="1"/>
    <col min="6" max="6" width="13.375" style="67" customWidth="1"/>
    <col min="7" max="7" width="12.625" style="67" hidden="1" customWidth="1"/>
    <col min="8" max="9" width="6.625" style="67" customWidth="1"/>
    <col min="10" max="10" width="18.625" style="67" customWidth="1"/>
    <col min="11" max="13" width="23.625" style="67" customWidth="1"/>
    <col min="14" max="14" width="8.625" style="67" customWidth="1"/>
    <col min="15" max="15" width="18.625" style="67" customWidth="1"/>
    <col min="16" max="18" width="21.625" style="67" customWidth="1"/>
    <col min="19" max="20" width="6.625" style="67" customWidth="1"/>
    <col min="21" max="24" width="21.625" style="67" customWidth="1"/>
    <col min="25" max="25" width="6.625" style="67" customWidth="1"/>
    <col min="26" max="29" width="21.625" style="67" customWidth="1"/>
    <col min="30" max="30" width="6.625" style="67" customWidth="1"/>
    <col min="31" max="31" width="8.125" style="67" customWidth="1"/>
    <col min="32" max="40" width="19.625" style="67" customWidth="1"/>
    <col min="41" max="41" width="8.125" style="67" customWidth="1"/>
    <col min="42" max="16384" width="9" style="67"/>
  </cols>
  <sheetData>
    <row r="1" spans="2:40" x14ac:dyDescent="0.4"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</row>
    <row r="2" spans="2:40" x14ac:dyDescent="0.4"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</row>
    <row r="3" spans="2:40" x14ac:dyDescent="0.4"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</row>
    <row r="4" spans="2:40" x14ac:dyDescent="0.4"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</row>
    <row r="5" spans="2:40" x14ac:dyDescent="0.4"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</row>
    <row r="6" spans="2:40" x14ac:dyDescent="0.4"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</row>
    <row r="7" spans="2:40" x14ac:dyDescent="0.4"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</row>
    <row r="8" spans="2:40" ht="42" customHeight="1" x14ac:dyDescent="0.4"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</row>
    <row r="9" spans="2:40" ht="42" customHeight="1" x14ac:dyDescent="0.4"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236" t="s">
        <v>47</v>
      </c>
      <c r="Y9" s="236"/>
      <c r="Z9" s="236"/>
      <c r="AA9" s="68"/>
      <c r="AB9" s="68"/>
      <c r="AC9" s="68"/>
      <c r="AD9" s="68"/>
      <c r="AI9" s="236" t="s">
        <v>48</v>
      </c>
      <c r="AJ9" s="237"/>
      <c r="AK9" s="237"/>
    </row>
    <row r="10" spans="2:40" ht="42" customHeight="1" x14ac:dyDescent="0.4">
      <c r="F10" s="12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236"/>
      <c r="Y10" s="236"/>
      <c r="Z10" s="236"/>
      <c r="AA10" s="68"/>
      <c r="AB10" s="68"/>
      <c r="AC10" s="68"/>
      <c r="AD10" s="68"/>
      <c r="AI10" s="237"/>
      <c r="AJ10" s="237"/>
      <c r="AK10" s="237"/>
    </row>
    <row r="11" spans="2:40" ht="42" customHeight="1" thickBot="1" x14ac:dyDescent="0.45">
      <c r="F11" s="12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</row>
    <row r="12" spans="2:40" ht="39.950000000000003" customHeight="1" thickTop="1" thickBot="1" x14ac:dyDescent="0.45">
      <c r="B12" s="69"/>
      <c r="C12" s="70" t="s">
        <v>17</v>
      </c>
      <c r="D12" s="71" t="s">
        <v>7</v>
      </c>
      <c r="E12" s="72" t="s">
        <v>6</v>
      </c>
      <c r="F12" s="73" t="s">
        <v>16</v>
      </c>
      <c r="I12" s="68"/>
      <c r="J12" s="238" t="s">
        <v>15</v>
      </c>
      <c r="K12" s="239"/>
      <c r="L12" s="74" t="s">
        <v>35</v>
      </c>
      <c r="M12" s="75" t="s">
        <v>13</v>
      </c>
      <c r="N12" s="68"/>
      <c r="O12" s="240" t="s">
        <v>14</v>
      </c>
      <c r="P12" s="241"/>
      <c r="Q12" s="76" t="s">
        <v>35</v>
      </c>
      <c r="R12" s="77" t="s">
        <v>13</v>
      </c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</row>
    <row r="13" spans="2:40" ht="92.1" customHeight="1" x14ac:dyDescent="0.4">
      <c r="B13" s="78" t="s">
        <v>18</v>
      </c>
      <c r="C13" s="242" t="s">
        <v>5</v>
      </c>
      <c r="D13" s="79" t="s">
        <v>2</v>
      </c>
      <c r="E13" s="80" t="s">
        <v>53</v>
      </c>
      <c r="F13" s="129"/>
      <c r="G13" s="128" t="b">
        <v>0</v>
      </c>
      <c r="I13" s="68"/>
      <c r="J13" s="81" t="s">
        <v>5</v>
      </c>
      <c r="K13" s="82" t="s">
        <v>12</v>
      </c>
      <c r="L13" s="83">
        <f>COUNTIF(G13:G16,TRUE)</f>
        <v>0</v>
      </c>
      <c r="M13" s="84">
        <f>COUNTIF(製造業編!G13:G16,FALSE)*2</f>
        <v>8</v>
      </c>
      <c r="N13" s="85"/>
      <c r="O13" s="86" t="s">
        <v>42</v>
      </c>
      <c r="P13" s="87" t="s">
        <v>36</v>
      </c>
      <c r="Q13" s="88">
        <f>COUNTIFS(G13:G35,TRUE,D13:D35,"人材・組織")</f>
        <v>0</v>
      </c>
      <c r="R13" s="89">
        <f>COUNTIFS(製造業編!G13:G35,FALSE,製造業編!D13:D35,"人材・組織")*2</f>
        <v>8</v>
      </c>
      <c r="S13" s="68"/>
      <c r="T13" s="68"/>
      <c r="U13" s="225" t="s">
        <v>5</v>
      </c>
      <c r="V13" s="226"/>
      <c r="W13" s="226"/>
      <c r="X13" s="227"/>
      <c r="Y13" s="68"/>
      <c r="Z13" s="225" t="s">
        <v>4</v>
      </c>
      <c r="AA13" s="226"/>
      <c r="AB13" s="226"/>
      <c r="AC13" s="227"/>
      <c r="AD13" s="68"/>
      <c r="AF13" s="210" t="s">
        <v>43</v>
      </c>
      <c r="AG13" s="211"/>
      <c r="AH13" s="211"/>
      <c r="AI13" s="211"/>
      <c r="AJ13" s="211"/>
      <c r="AK13" s="211"/>
      <c r="AL13" s="211"/>
      <c r="AM13" s="211"/>
      <c r="AN13" s="212"/>
    </row>
    <row r="14" spans="2:40" ht="92.1" customHeight="1" x14ac:dyDescent="0.4">
      <c r="B14" s="90" t="s">
        <v>19</v>
      </c>
      <c r="C14" s="205"/>
      <c r="D14" s="91" t="s">
        <v>1</v>
      </c>
      <c r="E14" s="92" t="s">
        <v>55</v>
      </c>
      <c r="F14" s="130"/>
      <c r="G14" s="128" t="b">
        <v>0</v>
      </c>
      <c r="I14" s="68"/>
      <c r="J14" s="93" t="s">
        <v>4</v>
      </c>
      <c r="K14" s="94" t="s">
        <v>11</v>
      </c>
      <c r="L14" s="95">
        <f>COUNTIF(G17:G20,TRUE)</f>
        <v>0</v>
      </c>
      <c r="M14" s="96">
        <f>COUNTIF(製造業編!G17:G20,FALSE)*2</f>
        <v>8</v>
      </c>
      <c r="N14" s="85"/>
      <c r="O14" s="97" t="s">
        <v>1</v>
      </c>
      <c r="P14" s="87" t="s">
        <v>37</v>
      </c>
      <c r="Q14" s="88">
        <f>COUNTIFS(G13:G35,TRUE,D13:D35,"設備・製品")</f>
        <v>0</v>
      </c>
      <c r="R14" s="89">
        <f>COUNTIFS(製造業編!G13:G35,FALSE,製造業編!D13:D35,"設備・製品")*2</f>
        <v>8</v>
      </c>
      <c r="S14" s="68"/>
      <c r="T14" s="68"/>
      <c r="U14" s="230"/>
      <c r="V14" s="231"/>
      <c r="W14" s="231"/>
      <c r="X14" s="232"/>
      <c r="Y14" s="68"/>
      <c r="Z14" s="230"/>
      <c r="AA14" s="231"/>
      <c r="AB14" s="231"/>
      <c r="AC14" s="232"/>
      <c r="AD14" s="68"/>
      <c r="AF14" s="243"/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90" t="s">
        <v>20</v>
      </c>
      <c r="C15" s="205"/>
      <c r="D15" s="91" t="s">
        <v>9</v>
      </c>
      <c r="E15" s="92" t="s">
        <v>57</v>
      </c>
      <c r="F15" s="130"/>
      <c r="G15" s="128" t="b">
        <v>0</v>
      </c>
      <c r="I15" s="68"/>
      <c r="J15" s="98" t="s">
        <v>3</v>
      </c>
      <c r="K15" s="99" t="s">
        <v>10</v>
      </c>
      <c r="L15" s="100">
        <f>COUNTIF(G21:G24,TRUE)</f>
        <v>0</v>
      </c>
      <c r="M15" s="89">
        <f>COUNTIF(製造業編!G21:G24,FALSE)*2</f>
        <v>8</v>
      </c>
      <c r="N15" s="85"/>
      <c r="O15" s="97" t="s">
        <v>9</v>
      </c>
      <c r="P15" s="87" t="s">
        <v>38</v>
      </c>
      <c r="Q15" s="88">
        <f>COUNTIFS(G13:G35,TRUE,D13:D35,"資金")</f>
        <v>0</v>
      </c>
      <c r="R15" s="89">
        <f>COUNTIFS(製造業編!G13:G35,FALSE,製造業編!D13:D35,"資金")*2</f>
        <v>8</v>
      </c>
      <c r="S15" s="68"/>
      <c r="T15" s="68"/>
      <c r="U15" s="233"/>
      <c r="V15" s="234"/>
      <c r="W15" s="234"/>
      <c r="X15" s="235"/>
      <c r="Y15" s="68"/>
      <c r="Z15" s="233"/>
      <c r="AA15" s="234"/>
      <c r="AB15" s="234"/>
      <c r="AC15" s="235"/>
      <c r="AD15" s="68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01" t="s">
        <v>21</v>
      </c>
      <c r="C16" s="206"/>
      <c r="D16" s="102" t="s">
        <v>0</v>
      </c>
      <c r="E16" s="103" t="s">
        <v>113</v>
      </c>
      <c r="F16" s="131"/>
      <c r="G16" s="128" t="b">
        <v>0</v>
      </c>
      <c r="I16" s="68"/>
      <c r="J16" s="104" t="s">
        <v>40</v>
      </c>
      <c r="K16" s="105" t="s">
        <v>8</v>
      </c>
      <c r="L16" s="106">
        <f>COUNTIF(G25:G35,TRUE)</f>
        <v>0</v>
      </c>
      <c r="M16" s="107">
        <f>COUNTIF(製造業編!G25:G35,FALSE)*2</f>
        <v>8</v>
      </c>
      <c r="N16" s="85"/>
      <c r="O16" s="108" t="s">
        <v>0</v>
      </c>
      <c r="P16" s="109" t="s">
        <v>39</v>
      </c>
      <c r="Q16" s="110">
        <f>COUNTIFS(G13:G35,TRUE,D13:D35,"情報")</f>
        <v>0</v>
      </c>
      <c r="R16" s="107">
        <f>COUNTIFS(製造業編!G13:G35,FALSE,製造業編!D13:D35,"情報")*2</f>
        <v>8</v>
      </c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F16" s="68"/>
      <c r="AG16" s="68"/>
      <c r="AH16" s="68"/>
      <c r="AI16" s="68"/>
      <c r="AJ16" s="68"/>
      <c r="AK16" s="68"/>
      <c r="AL16" s="68"/>
      <c r="AM16" s="68"/>
      <c r="AN16" s="68"/>
    </row>
    <row r="17" spans="1:40" ht="92.1" customHeight="1" thickTop="1" x14ac:dyDescent="0.4">
      <c r="B17" s="111" t="s">
        <v>22</v>
      </c>
      <c r="C17" s="204" t="s">
        <v>4</v>
      </c>
      <c r="D17" s="112" t="s">
        <v>2</v>
      </c>
      <c r="E17" s="113" t="s">
        <v>114</v>
      </c>
      <c r="F17" s="132"/>
      <c r="G17" s="128" t="b">
        <v>0</v>
      </c>
      <c r="I17" s="68"/>
      <c r="J17" s="68"/>
      <c r="K17" s="68"/>
      <c r="L17" s="68"/>
      <c r="M17" s="114"/>
      <c r="N17" s="68"/>
      <c r="O17" s="68"/>
      <c r="P17" s="68"/>
      <c r="Q17" s="68"/>
      <c r="R17" s="68"/>
      <c r="S17" s="68"/>
      <c r="T17" s="68"/>
      <c r="U17" s="225" t="s">
        <v>3</v>
      </c>
      <c r="V17" s="226"/>
      <c r="W17" s="226"/>
      <c r="X17" s="227"/>
      <c r="Y17" s="68"/>
      <c r="Z17" s="225" t="s">
        <v>41</v>
      </c>
      <c r="AA17" s="228"/>
      <c r="AB17" s="228"/>
      <c r="AC17" s="229"/>
      <c r="AD17" s="68"/>
      <c r="AF17" s="210" t="s">
        <v>44</v>
      </c>
      <c r="AG17" s="211"/>
      <c r="AH17" s="211"/>
      <c r="AI17" s="211"/>
      <c r="AJ17" s="211"/>
      <c r="AK17" s="211"/>
      <c r="AL17" s="211"/>
      <c r="AM17" s="211"/>
      <c r="AN17" s="212"/>
    </row>
    <row r="18" spans="1:40" ht="92.1" customHeight="1" x14ac:dyDescent="0.4">
      <c r="B18" s="115" t="s">
        <v>23</v>
      </c>
      <c r="C18" s="205"/>
      <c r="D18" s="91" t="s">
        <v>1</v>
      </c>
      <c r="E18" s="113" t="s">
        <v>115</v>
      </c>
      <c r="F18" s="133"/>
      <c r="G18" s="128" t="b">
        <v>0</v>
      </c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230"/>
      <c r="V18" s="231"/>
      <c r="W18" s="231"/>
      <c r="X18" s="232"/>
      <c r="Y18" s="68"/>
      <c r="Z18" s="230"/>
      <c r="AA18" s="231"/>
      <c r="AB18" s="231"/>
      <c r="AC18" s="232"/>
      <c r="AD18" s="68"/>
      <c r="AF18" s="219"/>
      <c r="AG18" s="220"/>
      <c r="AH18" s="220"/>
      <c r="AI18" s="220"/>
      <c r="AJ18" s="220"/>
      <c r="AK18" s="220"/>
      <c r="AL18" s="220"/>
      <c r="AM18" s="220"/>
      <c r="AN18" s="221"/>
    </row>
    <row r="19" spans="1:40" ht="92.1" customHeight="1" x14ac:dyDescent="0.4">
      <c r="B19" s="115" t="s">
        <v>24</v>
      </c>
      <c r="C19" s="205"/>
      <c r="D19" s="91" t="s">
        <v>9</v>
      </c>
      <c r="E19" s="116" t="s">
        <v>54</v>
      </c>
      <c r="F19" s="133"/>
      <c r="G19" s="128" t="b">
        <v>0</v>
      </c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233"/>
      <c r="V19" s="234"/>
      <c r="W19" s="234"/>
      <c r="X19" s="235"/>
      <c r="Y19" s="68"/>
      <c r="Z19" s="233"/>
      <c r="AA19" s="234"/>
      <c r="AB19" s="234"/>
      <c r="AC19" s="235"/>
      <c r="AD19" s="68"/>
      <c r="AF19" s="222"/>
      <c r="AG19" s="223"/>
      <c r="AH19" s="223"/>
      <c r="AI19" s="223"/>
      <c r="AJ19" s="223"/>
      <c r="AK19" s="223"/>
      <c r="AL19" s="223"/>
      <c r="AM19" s="223"/>
      <c r="AN19" s="224"/>
    </row>
    <row r="20" spans="1:40" ht="92.1" customHeight="1" thickBot="1" x14ac:dyDescent="0.45">
      <c r="B20" s="117" t="s">
        <v>25</v>
      </c>
      <c r="C20" s="206"/>
      <c r="D20" s="102" t="s">
        <v>0</v>
      </c>
      <c r="E20" s="118" t="s">
        <v>116</v>
      </c>
      <c r="F20" s="134"/>
      <c r="G20" s="128" t="b">
        <v>0</v>
      </c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F20" s="68"/>
      <c r="AG20" s="68"/>
      <c r="AH20" s="68"/>
      <c r="AI20" s="68"/>
      <c r="AJ20" s="68"/>
      <c r="AK20" s="68"/>
      <c r="AL20" s="68"/>
      <c r="AM20" s="68"/>
      <c r="AN20" s="68"/>
    </row>
    <row r="21" spans="1:40" ht="92.1" customHeight="1" x14ac:dyDescent="0.4">
      <c r="B21" s="119" t="s">
        <v>26</v>
      </c>
      <c r="C21" s="204" t="s">
        <v>3</v>
      </c>
      <c r="D21" s="112" t="s">
        <v>2</v>
      </c>
      <c r="E21" s="120" t="s">
        <v>58</v>
      </c>
      <c r="F21" s="135"/>
      <c r="G21" s="128" t="b">
        <v>0</v>
      </c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207" t="s">
        <v>42</v>
      </c>
      <c r="V21" s="208"/>
      <c r="W21" s="208"/>
      <c r="X21" s="209"/>
      <c r="Y21" s="121"/>
      <c r="Z21" s="207" t="s">
        <v>1</v>
      </c>
      <c r="AA21" s="208"/>
      <c r="AB21" s="208"/>
      <c r="AC21" s="209"/>
      <c r="AD21" s="68"/>
      <c r="AF21" s="210" t="s">
        <v>45</v>
      </c>
      <c r="AG21" s="211"/>
      <c r="AH21" s="211"/>
      <c r="AI21" s="211"/>
      <c r="AJ21" s="211"/>
      <c r="AK21" s="211"/>
      <c r="AL21" s="211"/>
      <c r="AM21" s="211"/>
      <c r="AN21" s="212"/>
    </row>
    <row r="22" spans="1:40" ht="92.1" customHeight="1" x14ac:dyDescent="0.4">
      <c r="B22" s="90" t="s">
        <v>27</v>
      </c>
      <c r="C22" s="205"/>
      <c r="D22" s="91" t="s">
        <v>1</v>
      </c>
      <c r="E22" s="92" t="s">
        <v>59</v>
      </c>
      <c r="F22" s="130"/>
      <c r="G22" s="128" t="b">
        <v>0</v>
      </c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213"/>
      <c r="V22" s="214"/>
      <c r="W22" s="214"/>
      <c r="X22" s="215"/>
      <c r="Y22" s="121"/>
      <c r="Z22" s="213"/>
      <c r="AA22" s="214"/>
      <c r="AB22" s="214"/>
      <c r="AC22" s="215"/>
      <c r="AD22" s="68"/>
      <c r="AF22" s="219"/>
      <c r="AG22" s="220"/>
      <c r="AH22" s="220"/>
      <c r="AI22" s="220"/>
      <c r="AJ22" s="220"/>
      <c r="AK22" s="220"/>
      <c r="AL22" s="220"/>
      <c r="AM22" s="220"/>
      <c r="AN22" s="221"/>
    </row>
    <row r="23" spans="1:40" ht="92.1" customHeight="1" x14ac:dyDescent="0.4">
      <c r="B23" s="90" t="s">
        <v>28</v>
      </c>
      <c r="C23" s="205"/>
      <c r="D23" s="91" t="s">
        <v>9</v>
      </c>
      <c r="E23" s="92" t="s">
        <v>117</v>
      </c>
      <c r="F23" s="130"/>
      <c r="G23" s="128" t="b">
        <v>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216"/>
      <c r="V23" s="217"/>
      <c r="W23" s="217"/>
      <c r="X23" s="218"/>
      <c r="Y23" s="121"/>
      <c r="Z23" s="216"/>
      <c r="AA23" s="217"/>
      <c r="AB23" s="217"/>
      <c r="AC23" s="218"/>
      <c r="AD23" s="68"/>
      <c r="AF23" s="222"/>
      <c r="AG23" s="223"/>
      <c r="AH23" s="223"/>
      <c r="AI23" s="223"/>
      <c r="AJ23" s="223"/>
      <c r="AK23" s="223"/>
      <c r="AL23" s="223"/>
      <c r="AM23" s="223"/>
      <c r="AN23" s="224"/>
    </row>
    <row r="24" spans="1:40" ht="92.1" customHeight="1" thickBot="1" x14ac:dyDescent="0.45">
      <c r="B24" s="101" t="s">
        <v>29</v>
      </c>
      <c r="C24" s="206"/>
      <c r="D24" s="102" t="s">
        <v>0</v>
      </c>
      <c r="E24" s="103" t="s">
        <v>60</v>
      </c>
      <c r="F24" s="131"/>
      <c r="G24" s="128" t="b">
        <v>0</v>
      </c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121"/>
      <c r="V24" s="121"/>
      <c r="W24" s="121"/>
      <c r="X24" s="121"/>
      <c r="Y24" s="121"/>
      <c r="Z24" s="121"/>
      <c r="AA24" s="121"/>
      <c r="AB24" s="121"/>
      <c r="AC24" s="121"/>
      <c r="AD24" s="68"/>
      <c r="AF24" s="68"/>
      <c r="AG24" s="68"/>
      <c r="AH24" s="68"/>
      <c r="AI24" s="68"/>
      <c r="AJ24" s="68"/>
      <c r="AK24" s="68"/>
      <c r="AL24" s="68"/>
      <c r="AM24" s="68"/>
      <c r="AN24" s="68"/>
    </row>
    <row r="25" spans="1:40" ht="23.1" customHeight="1" x14ac:dyDescent="0.4">
      <c r="A25" s="194"/>
      <c r="B25" s="198" t="s">
        <v>30</v>
      </c>
      <c r="C25" s="199" t="s">
        <v>34</v>
      </c>
      <c r="D25" s="202" t="s">
        <v>2</v>
      </c>
      <c r="E25" s="203" t="s">
        <v>118</v>
      </c>
      <c r="F25" s="192"/>
      <c r="G25" s="140" t="b">
        <v>0</v>
      </c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168" t="s">
        <v>9</v>
      </c>
      <c r="V25" s="168"/>
      <c r="W25" s="168"/>
      <c r="X25" s="168"/>
      <c r="Y25" s="121"/>
      <c r="Z25" s="168" t="s">
        <v>0</v>
      </c>
      <c r="AA25" s="168"/>
      <c r="AB25" s="168"/>
      <c r="AC25" s="168"/>
      <c r="AD25" s="68"/>
      <c r="AF25" s="169"/>
      <c r="AG25" s="171" t="s">
        <v>160</v>
      </c>
      <c r="AH25" s="172"/>
      <c r="AI25" s="172"/>
      <c r="AJ25" s="172"/>
      <c r="AK25" s="172"/>
      <c r="AL25" s="172"/>
      <c r="AM25" s="172"/>
      <c r="AN25" s="173"/>
    </row>
    <row r="26" spans="1:40" ht="23.1" customHeight="1" x14ac:dyDescent="0.4">
      <c r="A26" s="194"/>
      <c r="B26" s="195"/>
      <c r="C26" s="200"/>
      <c r="D26" s="196"/>
      <c r="E26" s="197"/>
      <c r="F26" s="193"/>
      <c r="G26" s="14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168"/>
      <c r="V26" s="168"/>
      <c r="W26" s="168"/>
      <c r="X26" s="168"/>
      <c r="Y26" s="121"/>
      <c r="Z26" s="168"/>
      <c r="AA26" s="168"/>
      <c r="AB26" s="168"/>
      <c r="AC26" s="168"/>
      <c r="AD26" s="68"/>
      <c r="AF26" s="170"/>
      <c r="AG26" s="174"/>
      <c r="AH26" s="175"/>
      <c r="AI26" s="175"/>
      <c r="AJ26" s="175"/>
      <c r="AK26" s="175"/>
      <c r="AL26" s="175"/>
      <c r="AM26" s="175"/>
      <c r="AN26" s="176"/>
    </row>
    <row r="27" spans="1:40" ht="23.1" customHeight="1" x14ac:dyDescent="0.4">
      <c r="A27" s="194"/>
      <c r="B27" s="195"/>
      <c r="C27" s="200"/>
      <c r="D27" s="196"/>
      <c r="E27" s="197"/>
      <c r="F27" s="193"/>
      <c r="G27" s="14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168"/>
      <c r="V27" s="168"/>
      <c r="W27" s="168"/>
      <c r="X27" s="168"/>
      <c r="Y27" s="121"/>
      <c r="Z27" s="168"/>
      <c r="AA27" s="168"/>
      <c r="AB27" s="168"/>
      <c r="AC27" s="168"/>
      <c r="AD27" s="68"/>
      <c r="AF27" s="177"/>
      <c r="AG27" s="179" t="s">
        <v>51</v>
      </c>
      <c r="AH27" s="179"/>
      <c r="AI27" s="179"/>
      <c r="AJ27" s="179"/>
      <c r="AK27" s="179"/>
      <c r="AL27" s="179"/>
      <c r="AM27" s="179"/>
      <c r="AN27" s="180"/>
    </row>
    <row r="28" spans="1:40" ht="23.1" customHeight="1" x14ac:dyDescent="0.4">
      <c r="A28" s="194"/>
      <c r="B28" s="143"/>
      <c r="C28" s="200"/>
      <c r="D28" s="145"/>
      <c r="E28" s="147"/>
      <c r="F28" s="149"/>
      <c r="G28" s="14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168"/>
      <c r="V28" s="168"/>
      <c r="W28" s="168"/>
      <c r="X28" s="168"/>
      <c r="Y28" s="121"/>
      <c r="Z28" s="168"/>
      <c r="AA28" s="168"/>
      <c r="AB28" s="168"/>
      <c r="AC28" s="168"/>
      <c r="AD28" s="68"/>
      <c r="AF28" s="178"/>
      <c r="AG28" s="181"/>
      <c r="AH28" s="181"/>
      <c r="AI28" s="181"/>
      <c r="AJ28" s="181"/>
      <c r="AK28" s="181"/>
      <c r="AL28" s="181"/>
      <c r="AM28" s="181"/>
      <c r="AN28" s="182"/>
    </row>
    <row r="29" spans="1:40" ht="23.1" customHeight="1" x14ac:dyDescent="0.4">
      <c r="A29" s="194"/>
      <c r="B29" s="142" t="s">
        <v>31</v>
      </c>
      <c r="C29" s="200"/>
      <c r="D29" s="144" t="s">
        <v>1</v>
      </c>
      <c r="E29" s="146" t="s">
        <v>62</v>
      </c>
      <c r="F29" s="148"/>
      <c r="G29" s="140" t="b">
        <v>0</v>
      </c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183"/>
      <c r="V29" s="184"/>
      <c r="W29" s="184"/>
      <c r="X29" s="185"/>
      <c r="Y29" s="121"/>
      <c r="Z29" s="183"/>
      <c r="AA29" s="184"/>
      <c r="AB29" s="184"/>
      <c r="AC29" s="185"/>
      <c r="AD29" s="68"/>
      <c r="AF29" s="164"/>
      <c r="AG29" s="160" t="s">
        <v>49</v>
      </c>
      <c r="AH29" s="160"/>
      <c r="AI29" s="160"/>
      <c r="AJ29" s="160"/>
      <c r="AK29" s="160"/>
      <c r="AL29" s="160"/>
      <c r="AM29" s="160"/>
      <c r="AN29" s="161"/>
    </row>
    <row r="30" spans="1:40" ht="23.1" customHeight="1" x14ac:dyDescent="0.4">
      <c r="A30" s="194"/>
      <c r="B30" s="195"/>
      <c r="C30" s="200"/>
      <c r="D30" s="196"/>
      <c r="E30" s="197"/>
      <c r="F30" s="193"/>
      <c r="G30" s="14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186"/>
      <c r="V30" s="187"/>
      <c r="W30" s="187"/>
      <c r="X30" s="188"/>
      <c r="Y30" s="121"/>
      <c r="Z30" s="186"/>
      <c r="AA30" s="187"/>
      <c r="AB30" s="187"/>
      <c r="AC30" s="188"/>
      <c r="AD30" s="68"/>
      <c r="AF30" s="178"/>
      <c r="AG30" s="162"/>
      <c r="AH30" s="162"/>
      <c r="AI30" s="162"/>
      <c r="AJ30" s="162"/>
      <c r="AK30" s="162"/>
      <c r="AL30" s="162"/>
      <c r="AM30" s="162"/>
      <c r="AN30" s="163"/>
    </row>
    <row r="31" spans="1:40" ht="23.1" customHeight="1" x14ac:dyDescent="0.4">
      <c r="A31" s="194"/>
      <c r="B31" s="195"/>
      <c r="C31" s="200"/>
      <c r="D31" s="196"/>
      <c r="E31" s="197"/>
      <c r="F31" s="193"/>
      <c r="G31" s="14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186"/>
      <c r="V31" s="187"/>
      <c r="W31" s="187"/>
      <c r="X31" s="188"/>
      <c r="Y31" s="121"/>
      <c r="Z31" s="186"/>
      <c r="AA31" s="187"/>
      <c r="AB31" s="187"/>
      <c r="AC31" s="188"/>
      <c r="AD31" s="68"/>
      <c r="AF31" s="164"/>
      <c r="AG31" s="160" t="s">
        <v>50</v>
      </c>
      <c r="AH31" s="160"/>
      <c r="AI31" s="160"/>
      <c r="AJ31" s="160"/>
      <c r="AK31" s="160"/>
      <c r="AL31" s="160"/>
      <c r="AM31" s="160"/>
      <c r="AN31" s="161"/>
    </row>
    <row r="32" spans="1:40" ht="23.1" customHeight="1" thickBot="1" x14ac:dyDescent="0.45">
      <c r="A32" s="194"/>
      <c r="B32" s="143"/>
      <c r="C32" s="200"/>
      <c r="D32" s="145"/>
      <c r="E32" s="147"/>
      <c r="F32" s="149"/>
      <c r="G32" s="14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186"/>
      <c r="V32" s="187"/>
      <c r="W32" s="187"/>
      <c r="X32" s="188"/>
      <c r="Y32" s="68"/>
      <c r="Z32" s="186"/>
      <c r="AA32" s="187"/>
      <c r="AB32" s="187"/>
      <c r="AC32" s="188"/>
      <c r="AD32" s="68"/>
      <c r="AF32" s="165"/>
      <c r="AG32" s="166"/>
      <c r="AH32" s="166"/>
      <c r="AI32" s="166"/>
      <c r="AJ32" s="166"/>
      <c r="AK32" s="166"/>
      <c r="AL32" s="166"/>
      <c r="AM32" s="166"/>
      <c r="AN32" s="167"/>
    </row>
    <row r="33" spans="1:40" ht="45.95" customHeight="1" thickBot="1" x14ac:dyDescent="0.45">
      <c r="A33" s="122"/>
      <c r="B33" s="142" t="s">
        <v>32</v>
      </c>
      <c r="C33" s="200"/>
      <c r="D33" s="144" t="s">
        <v>9</v>
      </c>
      <c r="E33" s="146" t="s">
        <v>119</v>
      </c>
      <c r="F33" s="148"/>
      <c r="G33" s="140" t="b">
        <v>0</v>
      </c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186"/>
      <c r="V33" s="187"/>
      <c r="W33" s="187"/>
      <c r="X33" s="188"/>
      <c r="Y33" s="68"/>
      <c r="Z33" s="186"/>
      <c r="AA33" s="187"/>
      <c r="AB33" s="187"/>
      <c r="AC33" s="188"/>
      <c r="AD33" s="68"/>
      <c r="AF33" s="123"/>
      <c r="AG33" s="124"/>
      <c r="AH33" s="124"/>
      <c r="AI33" s="124"/>
      <c r="AJ33" s="124"/>
      <c r="AK33" s="124"/>
      <c r="AL33" s="124"/>
      <c r="AM33" s="124"/>
      <c r="AN33" s="124"/>
    </row>
    <row r="34" spans="1:40" ht="45.95" customHeight="1" x14ac:dyDescent="0.4">
      <c r="B34" s="143"/>
      <c r="C34" s="200"/>
      <c r="D34" s="145"/>
      <c r="E34" s="147"/>
      <c r="F34" s="149"/>
      <c r="G34" s="14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189"/>
      <c r="V34" s="190"/>
      <c r="W34" s="190"/>
      <c r="X34" s="191"/>
      <c r="Y34" s="68"/>
      <c r="Z34" s="189"/>
      <c r="AA34" s="190"/>
      <c r="AB34" s="190"/>
      <c r="AC34" s="191"/>
      <c r="AD34" s="68"/>
      <c r="AF34" s="150"/>
      <c r="AG34" s="151"/>
      <c r="AH34" s="151"/>
      <c r="AI34" s="151"/>
      <c r="AJ34" s="151"/>
      <c r="AK34" s="151"/>
      <c r="AL34" s="151"/>
      <c r="AM34" s="151"/>
      <c r="AN34" s="152"/>
    </row>
    <row r="35" spans="1:40" ht="45.95" customHeight="1" thickBot="1" x14ac:dyDescent="0.45">
      <c r="B35" s="142" t="s">
        <v>33</v>
      </c>
      <c r="C35" s="200"/>
      <c r="D35" s="144" t="s">
        <v>0</v>
      </c>
      <c r="E35" s="146" t="s">
        <v>120</v>
      </c>
      <c r="F35" s="148"/>
      <c r="G35" s="140" t="b">
        <v>0</v>
      </c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125"/>
      <c r="V35" s="125"/>
      <c r="W35" s="125"/>
      <c r="X35" s="125"/>
      <c r="Y35" s="68"/>
      <c r="Z35" s="125"/>
      <c r="AA35" s="125"/>
      <c r="AB35" s="125"/>
      <c r="AC35" s="125"/>
      <c r="AD35" s="68"/>
      <c r="AF35" s="153"/>
      <c r="AG35" s="154"/>
      <c r="AH35" s="154"/>
      <c r="AI35" s="154"/>
      <c r="AJ35" s="154"/>
      <c r="AK35" s="154"/>
      <c r="AL35" s="154"/>
      <c r="AM35" s="154"/>
      <c r="AN35" s="155"/>
    </row>
    <row r="36" spans="1:40" ht="45.95" customHeight="1" thickBot="1" x14ac:dyDescent="0.45">
      <c r="B36" s="156"/>
      <c r="C36" s="201"/>
      <c r="D36" s="157"/>
      <c r="E36" s="158"/>
      <c r="F36" s="159"/>
      <c r="G36" s="14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F36" s="141"/>
      <c r="AG36" s="141"/>
      <c r="AH36" s="141"/>
      <c r="AI36" s="141"/>
      <c r="AJ36" s="141"/>
      <c r="AK36" s="141"/>
      <c r="AL36" s="141"/>
      <c r="AM36" s="141"/>
      <c r="AN36" s="141"/>
    </row>
    <row r="37" spans="1:40" ht="56.1" customHeight="1" x14ac:dyDescent="0.3"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AF37" s="126"/>
      <c r="AG37" s="126"/>
      <c r="AH37" s="126"/>
      <c r="AI37" s="127" t="s">
        <v>46</v>
      </c>
      <c r="AJ37" s="139"/>
      <c r="AK37" s="139"/>
      <c r="AL37" s="139"/>
      <c r="AM37" s="139"/>
      <c r="AN37" s="139"/>
    </row>
    <row r="44" spans="1:40" ht="27.75" x14ac:dyDescent="0.4">
      <c r="R44" s="67" ph="1"/>
      <c r="S44" s="67" ph="1"/>
    </row>
    <row r="46" spans="1:40" ht="27.75" x14ac:dyDescent="0.4">
      <c r="R46" s="67" ph="1"/>
      <c r="S46" s="67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F29:F32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G29:G32"/>
    <mergeCell ref="U29:X34"/>
    <mergeCell ref="Z29:AC34"/>
    <mergeCell ref="AF29:AF30"/>
    <mergeCell ref="AJ37:AN37"/>
    <mergeCell ref="G35:G36"/>
    <mergeCell ref="AF36:AN36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07BC3-F2DB-4C8E-825C-FE201990E485}">
  <sheetPr codeName="Sheet9">
    <tabColor rgb="FF934BC9"/>
  </sheetPr>
  <dimension ref="A1:AN46"/>
  <sheetViews>
    <sheetView view="pageBreakPreview" zoomScale="40" zoomScaleNormal="100" zoomScaleSheetLayoutView="40" workbookViewId="0">
      <pane xSplit="18510" topLeftCell="T1"/>
      <selection activeCell="F13" sqref="F13"/>
      <selection pane="topRight" activeCell="F13" sqref="F13"/>
    </sheetView>
  </sheetViews>
  <sheetFormatPr defaultRowHeight="18.75" x14ac:dyDescent="0.4"/>
  <cols>
    <col min="1" max="1" width="6.625" customWidth="1"/>
    <col min="2" max="2" width="16.625" customWidth="1"/>
    <col min="3" max="3" width="18.625" customWidth="1"/>
    <col min="4" max="4" width="24.625" customWidth="1"/>
    <col min="5" max="5" width="100.625" customWidth="1"/>
    <col min="6" max="6" width="13.375" customWidth="1"/>
    <col min="7" max="7" width="12.625" hidden="1" customWidth="1"/>
    <col min="8" max="9" width="6.625" customWidth="1"/>
    <col min="10" max="10" width="18.625" customWidth="1"/>
    <col min="11" max="13" width="23.625" customWidth="1"/>
    <col min="14" max="14" width="8.625" customWidth="1"/>
    <col min="15" max="15" width="18.625" customWidth="1"/>
    <col min="16" max="18" width="21.625" customWidth="1"/>
    <col min="19" max="20" width="6.625" customWidth="1"/>
    <col min="21" max="24" width="21.625" customWidth="1"/>
    <col min="25" max="25" width="6.625" customWidth="1"/>
    <col min="26" max="29" width="21.625" customWidth="1"/>
    <col min="30" max="30" width="6.625" customWidth="1"/>
    <col min="31" max="31" width="8.125" customWidth="1"/>
    <col min="32" max="40" width="19.625" customWidth="1"/>
    <col min="41" max="41" width="8.125" customWidth="1"/>
  </cols>
  <sheetData>
    <row r="1" spans="2:40" x14ac:dyDescent="0.4"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40" x14ac:dyDescent="0.4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40" x14ac:dyDescent="0.4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40" x14ac:dyDescent="0.4"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40" x14ac:dyDescent="0.4"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40" x14ac:dyDescent="0.4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40" x14ac:dyDescent="0.4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40" ht="42" customHeight="1" x14ac:dyDescent="0.4"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40" ht="42" customHeight="1" x14ac:dyDescent="0.4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11" t="s">
        <v>47</v>
      </c>
      <c r="Y9" s="311"/>
      <c r="Z9" s="311"/>
      <c r="AA9" s="1"/>
      <c r="AB9" s="1"/>
      <c r="AC9" s="1"/>
      <c r="AD9" s="1"/>
      <c r="AI9" s="311" t="s">
        <v>48</v>
      </c>
      <c r="AJ9" s="312"/>
      <c r="AK9" s="312"/>
    </row>
    <row r="10" spans="2:40" ht="42" customHeight="1" x14ac:dyDescent="0.4"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311"/>
      <c r="Y10" s="311"/>
      <c r="Z10" s="311"/>
      <c r="AA10" s="1"/>
      <c r="AB10" s="1"/>
      <c r="AC10" s="1"/>
      <c r="AD10" s="1"/>
      <c r="AI10" s="312"/>
      <c r="AJ10" s="312"/>
      <c r="AK10" s="312"/>
    </row>
    <row r="11" spans="2:40" ht="42" customHeight="1" thickBot="1" x14ac:dyDescent="0.45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40" ht="39.950000000000003" customHeight="1" thickTop="1" thickBot="1" x14ac:dyDescent="0.45">
      <c r="B12" s="48"/>
      <c r="C12" s="59" t="s">
        <v>17</v>
      </c>
      <c r="D12" s="60" t="s">
        <v>7</v>
      </c>
      <c r="E12" s="65" t="s">
        <v>6</v>
      </c>
      <c r="F12" s="51" t="s">
        <v>16</v>
      </c>
      <c r="I12" s="1"/>
      <c r="J12" s="313" t="s">
        <v>15</v>
      </c>
      <c r="K12" s="314"/>
      <c r="L12" s="39" t="s">
        <v>35</v>
      </c>
      <c r="M12" s="41" t="s">
        <v>13</v>
      </c>
      <c r="N12" s="1"/>
      <c r="O12" s="315" t="s">
        <v>14</v>
      </c>
      <c r="P12" s="316"/>
      <c r="Q12" s="40" t="s">
        <v>35</v>
      </c>
      <c r="R12" s="38" t="s">
        <v>13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40" ht="92.1" customHeight="1" x14ac:dyDescent="0.4">
      <c r="B13" s="47" t="s">
        <v>18</v>
      </c>
      <c r="C13" s="317" t="s">
        <v>72</v>
      </c>
      <c r="D13" s="61" t="s">
        <v>2</v>
      </c>
      <c r="E13" s="52" t="s">
        <v>121</v>
      </c>
      <c r="F13" s="129"/>
      <c r="G13" s="128" t="b">
        <v>0</v>
      </c>
      <c r="I13" s="1"/>
      <c r="J13" s="17" t="s">
        <v>72</v>
      </c>
      <c r="K13" s="5" t="s">
        <v>12</v>
      </c>
      <c r="L13" s="28">
        <f>COUNTIF(G13:G16,TRUE)</f>
        <v>0</v>
      </c>
      <c r="M13" s="32">
        <f>COUNTIF(卸売業編!G13:G16,FALSE)*2</f>
        <v>8</v>
      </c>
      <c r="N13" s="2"/>
      <c r="O13" s="24" t="s">
        <v>42</v>
      </c>
      <c r="P13" s="9" t="s">
        <v>36</v>
      </c>
      <c r="Q13" s="36">
        <f>COUNTIFS(G13:G35,TRUE,D13:D35,"人材・組織")</f>
        <v>0</v>
      </c>
      <c r="R13" s="34">
        <f>COUNTIFS(卸売業編!G13:G35,FALSE,卸売業編!D13:D35,"人材・組織")*2</f>
        <v>8</v>
      </c>
      <c r="S13" s="1"/>
      <c r="T13" s="1"/>
      <c r="U13" s="306" t="s">
        <v>72</v>
      </c>
      <c r="V13" s="307"/>
      <c r="W13" s="307"/>
      <c r="X13" s="308"/>
      <c r="Y13" s="1"/>
      <c r="Z13" s="306" t="s">
        <v>5</v>
      </c>
      <c r="AA13" s="307"/>
      <c r="AB13" s="307"/>
      <c r="AC13" s="308"/>
      <c r="AD13" s="1"/>
      <c r="AF13" s="303" t="s">
        <v>43</v>
      </c>
      <c r="AG13" s="304"/>
      <c r="AH13" s="304"/>
      <c r="AI13" s="304"/>
      <c r="AJ13" s="304"/>
      <c r="AK13" s="304"/>
      <c r="AL13" s="304"/>
      <c r="AM13" s="304"/>
      <c r="AN13" s="305"/>
    </row>
    <row r="14" spans="2:40" ht="92.1" customHeight="1" x14ac:dyDescent="0.4">
      <c r="B14" s="11" t="s">
        <v>19</v>
      </c>
      <c r="C14" s="298"/>
      <c r="D14" s="62" t="s">
        <v>74</v>
      </c>
      <c r="E14" s="53" t="s">
        <v>64</v>
      </c>
      <c r="F14" s="130"/>
      <c r="G14" s="128" t="b">
        <v>0</v>
      </c>
      <c r="I14" s="1"/>
      <c r="J14" s="18" t="s">
        <v>5</v>
      </c>
      <c r="K14" s="6" t="s">
        <v>11</v>
      </c>
      <c r="L14" s="29">
        <f>COUNTIF(G17:G20,TRUE)</f>
        <v>0</v>
      </c>
      <c r="M14" s="33">
        <f>COUNTIF(卸売業編!G17:G20,FALSE)*2</f>
        <v>8</v>
      </c>
      <c r="N14" s="2"/>
      <c r="O14" s="25" t="s">
        <v>74</v>
      </c>
      <c r="P14" s="9" t="s">
        <v>37</v>
      </c>
      <c r="Q14" s="36">
        <f>COUNTIFS(G13:G35,TRUE,D13:D35,"設備・商品")</f>
        <v>0</v>
      </c>
      <c r="R14" s="34">
        <f>COUNTIFS(卸売業編!G13:G35,FALSE,卸売業編!D13:D35,"設備・商品")*2</f>
        <v>8</v>
      </c>
      <c r="S14" s="1"/>
      <c r="T14" s="1"/>
      <c r="U14" s="230"/>
      <c r="V14" s="231"/>
      <c r="W14" s="231"/>
      <c r="X14" s="232"/>
      <c r="Y14" s="1"/>
      <c r="Z14" s="230"/>
      <c r="AA14" s="231"/>
      <c r="AB14" s="231"/>
      <c r="AC14" s="232"/>
      <c r="AD14" s="1"/>
      <c r="AF14" s="243"/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11" t="s">
        <v>20</v>
      </c>
      <c r="C15" s="298"/>
      <c r="D15" s="62" t="s">
        <v>9</v>
      </c>
      <c r="E15" s="53" t="s">
        <v>66</v>
      </c>
      <c r="F15" s="130"/>
      <c r="G15" s="128" t="b">
        <v>0</v>
      </c>
      <c r="I15" s="1"/>
      <c r="J15" s="19" t="s">
        <v>73</v>
      </c>
      <c r="K15" s="7" t="s">
        <v>10</v>
      </c>
      <c r="L15" s="30">
        <f>COUNTIF(G21:G24,TRUE)</f>
        <v>0</v>
      </c>
      <c r="M15" s="34">
        <f>COUNTIF(卸売業編!G21:G24,FALSE)*2</f>
        <v>8</v>
      </c>
      <c r="N15" s="2"/>
      <c r="O15" s="25" t="s">
        <v>9</v>
      </c>
      <c r="P15" s="9" t="s">
        <v>38</v>
      </c>
      <c r="Q15" s="36">
        <f>COUNTIFS(G13:G35,TRUE,D13:D35,"資金")</f>
        <v>0</v>
      </c>
      <c r="R15" s="34">
        <f>COUNTIFS(卸売業編!G13:G35,FALSE,卸売業編!D13:D35,"資金")*2</f>
        <v>8</v>
      </c>
      <c r="S15" s="1"/>
      <c r="T15" s="1"/>
      <c r="U15" s="233"/>
      <c r="V15" s="234"/>
      <c r="W15" s="234"/>
      <c r="X15" s="235"/>
      <c r="Y15" s="1"/>
      <c r="Z15" s="233"/>
      <c r="AA15" s="234"/>
      <c r="AB15" s="234"/>
      <c r="AC15" s="235"/>
      <c r="AD15" s="1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2" t="s">
        <v>21</v>
      </c>
      <c r="C16" s="299"/>
      <c r="D16" s="63" t="s">
        <v>0</v>
      </c>
      <c r="E16" s="54" t="s">
        <v>122</v>
      </c>
      <c r="F16" s="131"/>
      <c r="G16" s="128" t="b">
        <v>0</v>
      </c>
      <c r="I16" s="1"/>
      <c r="J16" s="20" t="s">
        <v>3</v>
      </c>
      <c r="K16" s="8" t="s">
        <v>8</v>
      </c>
      <c r="L16" s="31">
        <f>COUNTIF(G25:G35,TRUE)</f>
        <v>0</v>
      </c>
      <c r="M16" s="35">
        <f>COUNTIF(卸売業編!G25:G35,FALSE)*2</f>
        <v>8</v>
      </c>
      <c r="N16" s="2"/>
      <c r="O16" s="26" t="s">
        <v>0</v>
      </c>
      <c r="P16" s="10" t="s">
        <v>39</v>
      </c>
      <c r="Q16" s="37">
        <f>COUNTIFS(G13:G35,TRUE,D13:D35,"情報")</f>
        <v>0</v>
      </c>
      <c r="R16" s="35">
        <f>COUNTIFS(卸売業編!G13:G35,FALSE,卸売業編!D13:D35,"情報")*2</f>
        <v>8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92.1" customHeight="1" thickTop="1" x14ac:dyDescent="0.4">
      <c r="B17" s="13" t="s">
        <v>22</v>
      </c>
      <c r="C17" s="297" t="s">
        <v>5</v>
      </c>
      <c r="D17" s="64" t="s">
        <v>2</v>
      </c>
      <c r="E17" s="55" t="s">
        <v>68</v>
      </c>
      <c r="F17" s="132"/>
      <c r="G17" s="128" t="b">
        <v>0</v>
      </c>
      <c r="I17" s="1"/>
      <c r="J17" s="1"/>
      <c r="K17" s="1"/>
      <c r="L17" s="1"/>
      <c r="M17" s="27"/>
      <c r="N17" s="1"/>
      <c r="O17" s="1"/>
      <c r="P17" s="1"/>
      <c r="Q17" s="1"/>
      <c r="R17" s="1"/>
      <c r="S17" s="1"/>
      <c r="T17" s="1"/>
      <c r="U17" s="306" t="s">
        <v>73</v>
      </c>
      <c r="V17" s="307"/>
      <c r="W17" s="307"/>
      <c r="X17" s="308"/>
      <c r="Y17" s="1"/>
      <c r="Z17" s="306" t="s">
        <v>3</v>
      </c>
      <c r="AA17" s="309"/>
      <c r="AB17" s="309"/>
      <c r="AC17" s="310"/>
      <c r="AD17" s="1"/>
      <c r="AF17" s="303" t="s">
        <v>44</v>
      </c>
      <c r="AG17" s="304"/>
      <c r="AH17" s="304"/>
      <c r="AI17" s="304"/>
      <c r="AJ17" s="304"/>
      <c r="AK17" s="304"/>
      <c r="AL17" s="304"/>
      <c r="AM17" s="304"/>
      <c r="AN17" s="305"/>
    </row>
    <row r="18" spans="1:40" ht="92.1" customHeight="1" x14ac:dyDescent="0.4">
      <c r="B18" s="14" t="s">
        <v>23</v>
      </c>
      <c r="C18" s="298"/>
      <c r="D18" s="62" t="s">
        <v>74</v>
      </c>
      <c r="E18" s="55" t="s">
        <v>123</v>
      </c>
      <c r="F18" s="133"/>
      <c r="G18" s="128" t="b"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30"/>
      <c r="V18" s="231"/>
      <c r="W18" s="231"/>
      <c r="X18" s="232"/>
      <c r="Y18" s="1"/>
      <c r="Z18" s="230"/>
      <c r="AA18" s="231"/>
      <c r="AB18" s="231"/>
      <c r="AC18" s="232"/>
      <c r="AD18" s="1"/>
      <c r="AF18" s="243"/>
      <c r="AG18" s="244"/>
      <c r="AH18" s="244"/>
      <c r="AI18" s="244"/>
      <c r="AJ18" s="244"/>
      <c r="AK18" s="244"/>
      <c r="AL18" s="244"/>
      <c r="AM18" s="244"/>
      <c r="AN18" s="245"/>
    </row>
    <row r="19" spans="1:40" ht="92.1" customHeight="1" x14ac:dyDescent="0.4">
      <c r="B19" s="14" t="s">
        <v>24</v>
      </c>
      <c r="C19" s="298"/>
      <c r="D19" s="62" t="s">
        <v>9</v>
      </c>
      <c r="E19" s="56" t="s">
        <v>57</v>
      </c>
      <c r="F19" s="133"/>
      <c r="G19" s="128" t="b"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33"/>
      <c r="V19" s="234"/>
      <c r="W19" s="234"/>
      <c r="X19" s="235"/>
      <c r="Y19" s="1"/>
      <c r="Z19" s="233"/>
      <c r="AA19" s="234"/>
      <c r="AB19" s="234"/>
      <c r="AC19" s="235"/>
      <c r="AD19" s="1"/>
      <c r="AF19" s="246"/>
      <c r="AG19" s="247"/>
      <c r="AH19" s="247"/>
      <c r="AI19" s="247"/>
      <c r="AJ19" s="247"/>
      <c r="AK19" s="247"/>
      <c r="AL19" s="247"/>
      <c r="AM19" s="247"/>
      <c r="AN19" s="248"/>
    </row>
    <row r="20" spans="1:40" ht="92.1" customHeight="1" thickBot="1" x14ac:dyDescent="0.45">
      <c r="B20" s="15" t="s">
        <v>25</v>
      </c>
      <c r="C20" s="299"/>
      <c r="D20" s="63" t="s">
        <v>0</v>
      </c>
      <c r="E20" s="57" t="s">
        <v>70</v>
      </c>
      <c r="F20" s="134"/>
      <c r="G20" s="128" t="b"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92.1" customHeight="1" x14ac:dyDescent="0.4">
      <c r="B21" s="16" t="s">
        <v>26</v>
      </c>
      <c r="C21" s="297" t="s">
        <v>73</v>
      </c>
      <c r="D21" s="64" t="s">
        <v>2</v>
      </c>
      <c r="E21" s="58" t="s">
        <v>124</v>
      </c>
      <c r="F21" s="135"/>
      <c r="G21" s="128" t="b">
        <v>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300" t="s">
        <v>42</v>
      </c>
      <c r="V21" s="301"/>
      <c r="W21" s="301"/>
      <c r="X21" s="302"/>
      <c r="Y21" s="3"/>
      <c r="Z21" s="300" t="s">
        <v>74</v>
      </c>
      <c r="AA21" s="301"/>
      <c r="AB21" s="301"/>
      <c r="AC21" s="302"/>
      <c r="AD21" s="1"/>
      <c r="AF21" s="303" t="s">
        <v>45</v>
      </c>
      <c r="AG21" s="304"/>
      <c r="AH21" s="304"/>
      <c r="AI21" s="304"/>
      <c r="AJ21" s="304"/>
      <c r="AK21" s="304"/>
      <c r="AL21" s="304"/>
      <c r="AM21" s="304"/>
      <c r="AN21" s="305"/>
    </row>
    <row r="22" spans="1:40" ht="92.1" customHeight="1" x14ac:dyDescent="0.4">
      <c r="B22" s="11" t="s">
        <v>27</v>
      </c>
      <c r="C22" s="298"/>
      <c r="D22" s="62" t="s">
        <v>74</v>
      </c>
      <c r="E22" s="53" t="s">
        <v>125</v>
      </c>
      <c r="F22" s="130"/>
      <c r="G22" s="128" t="b"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213"/>
      <c r="V22" s="214"/>
      <c r="W22" s="214"/>
      <c r="X22" s="215"/>
      <c r="Y22" s="3"/>
      <c r="Z22" s="213"/>
      <c r="AA22" s="214"/>
      <c r="AB22" s="214"/>
      <c r="AC22" s="215"/>
      <c r="AD22" s="1"/>
      <c r="AF22" s="243"/>
      <c r="AG22" s="244"/>
      <c r="AH22" s="244"/>
      <c r="AI22" s="244"/>
      <c r="AJ22" s="244"/>
      <c r="AK22" s="244"/>
      <c r="AL22" s="244"/>
      <c r="AM22" s="244"/>
      <c r="AN22" s="245"/>
    </row>
    <row r="23" spans="1:40" ht="92.1" customHeight="1" x14ac:dyDescent="0.4">
      <c r="B23" s="11" t="s">
        <v>28</v>
      </c>
      <c r="C23" s="298"/>
      <c r="D23" s="62" t="s">
        <v>9</v>
      </c>
      <c r="E23" s="53" t="s">
        <v>126</v>
      </c>
      <c r="F23" s="130"/>
      <c r="G23" s="128" t="b"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216"/>
      <c r="V23" s="217"/>
      <c r="W23" s="217"/>
      <c r="X23" s="218"/>
      <c r="Y23" s="3"/>
      <c r="Z23" s="216"/>
      <c r="AA23" s="217"/>
      <c r="AB23" s="217"/>
      <c r="AC23" s="218"/>
      <c r="AD23" s="1"/>
      <c r="AF23" s="246"/>
      <c r="AG23" s="247"/>
      <c r="AH23" s="247"/>
      <c r="AI23" s="247"/>
      <c r="AJ23" s="247"/>
      <c r="AK23" s="247"/>
      <c r="AL23" s="247"/>
      <c r="AM23" s="247"/>
      <c r="AN23" s="248"/>
    </row>
    <row r="24" spans="1:40" ht="92.1" customHeight="1" thickBot="1" x14ac:dyDescent="0.45">
      <c r="B24" s="12" t="s">
        <v>29</v>
      </c>
      <c r="C24" s="299"/>
      <c r="D24" s="63" t="s">
        <v>0</v>
      </c>
      <c r="E24" s="54" t="s">
        <v>112</v>
      </c>
      <c r="F24" s="131"/>
      <c r="G24" s="128" t="b"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3"/>
      <c r="V24" s="3"/>
      <c r="W24" s="3"/>
      <c r="X24" s="3"/>
      <c r="Y24" s="3"/>
      <c r="Z24" s="3"/>
      <c r="AA24" s="3"/>
      <c r="AB24" s="3"/>
      <c r="AC24" s="3"/>
      <c r="AD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23.1" customHeight="1" x14ac:dyDescent="0.4">
      <c r="A25" s="285"/>
      <c r="B25" s="289" t="s">
        <v>30</v>
      </c>
      <c r="C25" s="290" t="s">
        <v>3</v>
      </c>
      <c r="D25" s="293" t="s">
        <v>2</v>
      </c>
      <c r="E25" s="294" t="s">
        <v>127</v>
      </c>
      <c r="F25" s="192"/>
      <c r="G25" s="140" t="b"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265" t="s">
        <v>9</v>
      </c>
      <c r="V25" s="265"/>
      <c r="W25" s="265"/>
      <c r="X25" s="265"/>
      <c r="Y25" s="3"/>
      <c r="Z25" s="265" t="s">
        <v>0</v>
      </c>
      <c r="AA25" s="265"/>
      <c r="AB25" s="265"/>
      <c r="AC25" s="265"/>
      <c r="AD25" s="1"/>
      <c r="AF25" s="169"/>
      <c r="AG25" s="266" t="s">
        <v>160</v>
      </c>
      <c r="AH25" s="267"/>
      <c r="AI25" s="267"/>
      <c r="AJ25" s="267"/>
      <c r="AK25" s="267"/>
      <c r="AL25" s="267"/>
      <c r="AM25" s="267"/>
      <c r="AN25" s="268"/>
    </row>
    <row r="26" spans="1:40" ht="23.1" customHeight="1" x14ac:dyDescent="0.4">
      <c r="A26" s="285"/>
      <c r="B26" s="286"/>
      <c r="C26" s="291"/>
      <c r="D26" s="287"/>
      <c r="E26" s="295"/>
      <c r="F26" s="193"/>
      <c r="G26" s="14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265"/>
      <c r="V26" s="265"/>
      <c r="W26" s="265"/>
      <c r="X26" s="265"/>
      <c r="Y26" s="3"/>
      <c r="Z26" s="265"/>
      <c r="AA26" s="265"/>
      <c r="AB26" s="265"/>
      <c r="AC26" s="265"/>
      <c r="AD26" s="1"/>
      <c r="AF26" s="170"/>
      <c r="AG26" s="269"/>
      <c r="AH26" s="270"/>
      <c r="AI26" s="270"/>
      <c r="AJ26" s="270"/>
      <c r="AK26" s="270"/>
      <c r="AL26" s="270"/>
      <c r="AM26" s="270"/>
      <c r="AN26" s="271"/>
    </row>
    <row r="27" spans="1:40" ht="23.1" customHeight="1" x14ac:dyDescent="0.4">
      <c r="A27" s="285"/>
      <c r="B27" s="286"/>
      <c r="C27" s="291"/>
      <c r="D27" s="287"/>
      <c r="E27" s="295"/>
      <c r="F27" s="193"/>
      <c r="G27" s="14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65"/>
      <c r="V27" s="265"/>
      <c r="W27" s="265"/>
      <c r="X27" s="265"/>
      <c r="Y27" s="3"/>
      <c r="Z27" s="265"/>
      <c r="AA27" s="265"/>
      <c r="AB27" s="265"/>
      <c r="AC27" s="265"/>
      <c r="AD27" s="1"/>
      <c r="AF27" s="177"/>
      <c r="AG27" s="272" t="s">
        <v>51</v>
      </c>
      <c r="AH27" s="272"/>
      <c r="AI27" s="272"/>
      <c r="AJ27" s="272"/>
      <c r="AK27" s="272"/>
      <c r="AL27" s="272"/>
      <c r="AM27" s="272"/>
      <c r="AN27" s="273"/>
    </row>
    <row r="28" spans="1:40" ht="23.1" customHeight="1" x14ac:dyDescent="0.4">
      <c r="A28" s="285"/>
      <c r="B28" s="251"/>
      <c r="C28" s="291"/>
      <c r="D28" s="253"/>
      <c r="E28" s="296"/>
      <c r="F28" s="149"/>
      <c r="G28" s="14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65"/>
      <c r="V28" s="265"/>
      <c r="W28" s="265"/>
      <c r="X28" s="265"/>
      <c r="Y28" s="3"/>
      <c r="Z28" s="265"/>
      <c r="AA28" s="265"/>
      <c r="AB28" s="265"/>
      <c r="AC28" s="265"/>
      <c r="AD28" s="1"/>
      <c r="AF28" s="178"/>
      <c r="AG28" s="274"/>
      <c r="AH28" s="274"/>
      <c r="AI28" s="274"/>
      <c r="AJ28" s="274"/>
      <c r="AK28" s="274"/>
      <c r="AL28" s="274"/>
      <c r="AM28" s="274"/>
      <c r="AN28" s="275"/>
    </row>
    <row r="29" spans="1:40" ht="23.1" customHeight="1" x14ac:dyDescent="0.4">
      <c r="A29" s="285"/>
      <c r="B29" s="250" t="s">
        <v>31</v>
      </c>
      <c r="C29" s="291"/>
      <c r="D29" s="252" t="s">
        <v>74</v>
      </c>
      <c r="E29" s="254" t="s">
        <v>71</v>
      </c>
      <c r="F29" s="148"/>
      <c r="G29" s="140" t="b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83"/>
      <c r="V29" s="184"/>
      <c r="W29" s="184"/>
      <c r="X29" s="185"/>
      <c r="Y29" s="3"/>
      <c r="Z29" s="276"/>
      <c r="AA29" s="277"/>
      <c r="AB29" s="277"/>
      <c r="AC29" s="278"/>
      <c r="AD29" s="1"/>
      <c r="AF29" s="164"/>
      <c r="AG29" s="259" t="s">
        <v>49</v>
      </c>
      <c r="AH29" s="259"/>
      <c r="AI29" s="259"/>
      <c r="AJ29" s="259"/>
      <c r="AK29" s="259"/>
      <c r="AL29" s="259"/>
      <c r="AM29" s="259"/>
      <c r="AN29" s="260"/>
    </row>
    <row r="30" spans="1:40" ht="23.1" customHeight="1" x14ac:dyDescent="0.4">
      <c r="A30" s="285"/>
      <c r="B30" s="286"/>
      <c r="C30" s="291"/>
      <c r="D30" s="287"/>
      <c r="E30" s="288"/>
      <c r="F30" s="193"/>
      <c r="G30" s="14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86"/>
      <c r="V30" s="187"/>
      <c r="W30" s="187"/>
      <c r="X30" s="188"/>
      <c r="Y30" s="3"/>
      <c r="Z30" s="279"/>
      <c r="AA30" s="280"/>
      <c r="AB30" s="280"/>
      <c r="AC30" s="281"/>
      <c r="AD30" s="1"/>
      <c r="AF30" s="178"/>
      <c r="AG30" s="261"/>
      <c r="AH30" s="261"/>
      <c r="AI30" s="261"/>
      <c r="AJ30" s="261"/>
      <c r="AK30" s="261"/>
      <c r="AL30" s="261"/>
      <c r="AM30" s="261"/>
      <c r="AN30" s="262"/>
    </row>
    <row r="31" spans="1:40" ht="23.1" customHeight="1" x14ac:dyDescent="0.4">
      <c r="A31" s="285"/>
      <c r="B31" s="286"/>
      <c r="C31" s="291"/>
      <c r="D31" s="287"/>
      <c r="E31" s="288"/>
      <c r="F31" s="193"/>
      <c r="G31" s="14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86"/>
      <c r="V31" s="187"/>
      <c r="W31" s="187"/>
      <c r="X31" s="188"/>
      <c r="Y31" s="3"/>
      <c r="Z31" s="279"/>
      <c r="AA31" s="280"/>
      <c r="AB31" s="280"/>
      <c r="AC31" s="281"/>
      <c r="AD31" s="1"/>
      <c r="AF31" s="164"/>
      <c r="AG31" s="259" t="s">
        <v>50</v>
      </c>
      <c r="AH31" s="259"/>
      <c r="AI31" s="259"/>
      <c r="AJ31" s="259"/>
      <c r="AK31" s="259"/>
      <c r="AL31" s="259"/>
      <c r="AM31" s="259"/>
      <c r="AN31" s="260"/>
    </row>
    <row r="32" spans="1:40" ht="23.1" customHeight="1" thickBot="1" x14ac:dyDescent="0.45">
      <c r="A32" s="285"/>
      <c r="B32" s="251"/>
      <c r="C32" s="291"/>
      <c r="D32" s="253"/>
      <c r="E32" s="255"/>
      <c r="F32" s="149"/>
      <c r="G32" s="14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86"/>
      <c r="V32" s="187"/>
      <c r="W32" s="187"/>
      <c r="X32" s="188"/>
      <c r="Y32" s="1"/>
      <c r="Z32" s="279"/>
      <c r="AA32" s="280"/>
      <c r="AB32" s="280"/>
      <c r="AC32" s="281"/>
      <c r="AD32" s="1"/>
      <c r="AF32" s="165"/>
      <c r="AG32" s="263"/>
      <c r="AH32" s="263"/>
      <c r="AI32" s="263"/>
      <c r="AJ32" s="263"/>
      <c r="AK32" s="263"/>
      <c r="AL32" s="263"/>
      <c r="AM32" s="263"/>
      <c r="AN32" s="264"/>
    </row>
    <row r="33" spans="1:40" ht="45.95" customHeight="1" thickBot="1" x14ac:dyDescent="0.45">
      <c r="A33" s="42"/>
      <c r="B33" s="250" t="s">
        <v>32</v>
      </c>
      <c r="C33" s="291"/>
      <c r="D33" s="252" t="s">
        <v>9</v>
      </c>
      <c r="E33" s="254" t="s">
        <v>128</v>
      </c>
      <c r="F33" s="148"/>
      <c r="G33" s="140" t="b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86"/>
      <c r="V33" s="187"/>
      <c r="W33" s="187"/>
      <c r="X33" s="188"/>
      <c r="Y33" s="1"/>
      <c r="Z33" s="279"/>
      <c r="AA33" s="280"/>
      <c r="AB33" s="280"/>
      <c r="AC33" s="281"/>
      <c r="AD33" s="1"/>
      <c r="AF33" s="43"/>
      <c r="AG33" s="44"/>
      <c r="AH33" s="44"/>
      <c r="AI33" s="44"/>
      <c r="AJ33" s="44"/>
      <c r="AK33" s="44"/>
      <c r="AL33" s="44"/>
      <c r="AM33" s="44"/>
      <c r="AN33" s="44"/>
    </row>
    <row r="34" spans="1:40" ht="45.95" customHeight="1" x14ac:dyDescent="0.4">
      <c r="B34" s="251"/>
      <c r="C34" s="291"/>
      <c r="D34" s="253"/>
      <c r="E34" s="255"/>
      <c r="F34" s="149"/>
      <c r="G34" s="14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89"/>
      <c r="V34" s="190"/>
      <c r="W34" s="190"/>
      <c r="X34" s="191"/>
      <c r="Y34" s="1"/>
      <c r="Z34" s="282"/>
      <c r="AA34" s="283"/>
      <c r="AB34" s="283"/>
      <c r="AC34" s="284"/>
      <c r="AD34" s="1"/>
      <c r="AF34" s="150"/>
      <c r="AG34" s="151"/>
      <c r="AH34" s="151"/>
      <c r="AI34" s="151"/>
      <c r="AJ34" s="151"/>
      <c r="AK34" s="151"/>
      <c r="AL34" s="151"/>
      <c r="AM34" s="151"/>
      <c r="AN34" s="152"/>
    </row>
    <row r="35" spans="1:40" ht="45.95" customHeight="1" thickBot="1" x14ac:dyDescent="0.45">
      <c r="B35" s="250" t="s">
        <v>33</v>
      </c>
      <c r="C35" s="291"/>
      <c r="D35" s="252" t="s">
        <v>0</v>
      </c>
      <c r="E35" s="254" t="s">
        <v>129</v>
      </c>
      <c r="F35" s="148"/>
      <c r="G35" s="140" t="b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5"/>
      <c r="V35" s="45"/>
      <c r="W35" s="45"/>
      <c r="X35" s="45"/>
      <c r="Y35" s="1"/>
      <c r="Z35" s="45"/>
      <c r="AA35" s="45"/>
      <c r="AB35" s="45"/>
      <c r="AC35" s="45"/>
      <c r="AD35" s="1"/>
      <c r="AF35" s="153"/>
      <c r="AG35" s="154"/>
      <c r="AH35" s="154"/>
      <c r="AI35" s="154"/>
      <c r="AJ35" s="154"/>
      <c r="AK35" s="154"/>
      <c r="AL35" s="154"/>
      <c r="AM35" s="154"/>
      <c r="AN35" s="155"/>
    </row>
    <row r="36" spans="1:40" ht="45.95" customHeight="1" thickBot="1" x14ac:dyDescent="0.45">
      <c r="B36" s="256"/>
      <c r="C36" s="292"/>
      <c r="D36" s="257"/>
      <c r="E36" s="258"/>
      <c r="F36" s="159"/>
      <c r="G36" s="14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49"/>
      <c r="AG36" s="249"/>
      <c r="AH36" s="249"/>
      <c r="AI36" s="249"/>
      <c r="AJ36" s="249"/>
      <c r="AK36" s="249"/>
      <c r="AL36" s="249"/>
      <c r="AM36" s="249"/>
      <c r="AN36" s="249"/>
    </row>
    <row r="37" spans="1:40" ht="56.1" customHeight="1" x14ac:dyDescent="0.3"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AF37" s="4"/>
      <c r="AG37" s="4"/>
      <c r="AH37" s="4"/>
      <c r="AI37" s="66" t="s">
        <v>46</v>
      </c>
      <c r="AJ37" s="139"/>
      <c r="AK37" s="139"/>
      <c r="AL37" s="139"/>
      <c r="AM37" s="139"/>
      <c r="AN37" s="139"/>
    </row>
    <row r="44" spans="1:40" ht="27.75" x14ac:dyDescent="0.4">
      <c r="R44" ph="1"/>
      <c r="S44" ph="1"/>
    </row>
    <row r="46" spans="1:40" ht="27.75" x14ac:dyDescent="0.4">
      <c r="R46" ph="1"/>
      <c r="S46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F29:F32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G29:G32"/>
    <mergeCell ref="U29:X34"/>
    <mergeCell ref="Z29:AC34"/>
    <mergeCell ref="AF29:AF30"/>
    <mergeCell ref="G35:G36"/>
    <mergeCell ref="AF36:AN36"/>
    <mergeCell ref="AJ37:AN37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35D9-568B-4F91-B694-14718A391295}">
  <sheetPr codeName="Sheet10">
    <tabColor rgb="FFFF6600"/>
  </sheetPr>
  <dimension ref="A1:AN46"/>
  <sheetViews>
    <sheetView view="pageBreakPreview" zoomScale="40" zoomScaleNormal="100" zoomScaleSheetLayoutView="40" workbookViewId="0">
      <pane xSplit="18600" topLeftCell="T1"/>
      <selection activeCell="F13" sqref="F13"/>
      <selection pane="topRight" activeCell="F13" sqref="F13"/>
    </sheetView>
  </sheetViews>
  <sheetFormatPr defaultRowHeight="18.75" x14ac:dyDescent="0.4"/>
  <cols>
    <col min="1" max="1" width="6.625" customWidth="1"/>
    <col min="2" max="2" width="16.625" customWidth="1"/>
    <col min="3" max="3" width="18.625" customWidth="1"/>
    <col min="4" max="4" width="24.625" customWidth="1"/>
    <col min="5" max="5" width="100.625" customWidth="1"/>
    <col min="6" max="6" width="13.375" customWidth="1"/>
    <col min="7" max="7" width="12.625" hidden="1" customWidth="1"/>
    <col min="8" max="9" width="6.625" customWidth="1"/>
    <col min="10" max="10" width="18.625" customWidth="1"/>
    <col min="11" max="13" width="23.625" customWidth="1"/>
    <col min="14" max="14" width="8.625" customWidth="1"/>
    <col min="15" max="15" width="18.625" customWidth="1"/>
    <col min="16" max="18" width="21.625" customWidth="1"/>
    <col min="19" max="20" width="6.625" customWidth="1"/>
    <col min="21" max="24" width="21.625" customWidth="1"/>
    <col min="25" max="25" width="6.625" customWidth="1"/>
    <col min="26" max="29" width="21.625" customWidth="1"/>
    <col min="30" max="30" width="6.625" customWidth="1"/>
    <col min="31" max="31" width="8.125" customWidth="1"/>
    <col min="32" max="40" width="19.625" customWidth="1"/>
    <col min="41" max="41" width="8.125" customWidth="1"/>
  </cols>
  <sheetData>
    <row r="1" spans="2:40" x14ac:dyDescent="0.4"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40" x14ac:dyDescent="0.4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40" x14ac:dyDescent="0.4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40" x14ac:dyDescent="0.4"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40" x14ac:dyDescent="0.4"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40" x14ac:dyDescent="0.4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40" x14ac:dyDescent="0.4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40" ht="42" customHeight="1" x14ac:dyDescent="0.4"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40" ht="42" customHeight="1" x14ac:dyDescent="0.4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11" t="s">
        <v>47</v>
      </c>
      <c r="Y9" s="311"/>
      <c r="Z9" s="311"/>
      <c r="AA9" s="1"/>
      <c r="AB9" s="1"/>
      <c r="AC9" s="1"/>
      <c r="AD9" s="1"/>
      <c r="AI9" s="311" t="s">
        <v>48</v>
      </c>
      <c r="AJ9" s="312"/>
      <c r="AK9" s="312"/>
    </row>
    <row r="10" spans="2:40" ht="42" customHeight="1" x14ac:dyDescent="0.4"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311"/>
      <c r="Y10" s="311"/>
      <c r="Z10" s="311"/>
      <c r="AA10" s="1"/>
      <c r="AB10" s="1"/>
      <c r="AC10" s="1"/>
      <c r="AD10" s="1"/>
      <c r="AI10" s="312"/>
      <c r="AJ10" s="312"/>
      <c r="AK10" s="312"/>
    </row>
    <row r="11" spans="2:40" ht="42" customHeight="1" thickBot="1" x14ac:dyDescent="0.45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40" ht="39.950000000000003" customHeight="1" thickTop="1" thickBot="1" x14ac:dyDescent="0.45">
      <c r="B12" s="48"/>
      <c r="C12" s="59" t="s">
        <v>17</v>
      </c>
      <c r="D12" s="60" t="s">
        <v>7</v>
      </c>
      <c r="E12" s="65" t="s">
        <v>6</v>
      </c>
      <c r="F12" s="51" t="s">
        <v>16</v>
      </c>
      <c r="I12" s="1"/>
      <c r="J12" s="313" t="s">
        <v>15</v>
      </c>
      <c r="K12" s="314"/>
      <c r="L12" s="39" t="s">
        <v>35</v>
      </c>
      <c r="M12" s="41" t="s">
        <v>13</v>
      </c>
      <c r="N12" s="1"/>
      <c r="O12" s="315" t="s">
        <v>14</v>
      </c>
      <c r="P12" s="316"/>
      <c r="Q12" s="40" t="s">
        <v>35</v>
      </c>
      <c r="R12" s="38" t="s">
        <v>13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40" ht="92.1" customHeight="1" x14ac:dyDescent="0.4">
      <c r="B13" s="47" t="s">
        <v>18</v>
      </c>
      <c r="C13" s="317" t="s">
        <v>72</v>
      </c>
      <c r="D13" s="61" t="s">
        <v>2</v>
      </c>
      <c r="E13" s="52" t="s">
        <v>158</v>
      </c>
      <c r="F13" s="129"/>
      <c r="G13" s="128" t="b">
        <v>0</v>
      </c>
      <c r="I13" s="1"/>
      <c r="J13" s="17" t="s">
        <v>72</v>
      </c>
      <c r="K13" s="5" t="s">
        <v>12</v>
      </c>
      <c r="L13" s="28">
        <f>COUNTIF(G13:G16,TRUE)</f>
        <v>0</v>
      </c>
      <c r="M13" s="32">
        <f>COUNTIF(小売業編!G13:G16,FALSE)*2</f>
        <v>8</v>
      </c>
      <c r="N13" s="2"/>
      <c r="O13" s="24" t="s">
        <v>42</v>
      </c>
      <c r="P13" s="9" t="s">
        <v>36</v>
      </c>
      <c r="Q13" s="36">
        <f>COUNTIFS(G13:G35,TRUE,D13:D35,"人材・組織")</f>
        <v>0</v>
      </c>
      <c r="R13" s="34">
        <f>COUNTIFS(小売業編!G13:G35,FALSE,小売業編!D13:D35,"人材・組織")*2</f>
        <v>8</v>
      </c>
      <c r="S13" s="1"/>
      <c r="T13" s="1"/>
      <c r="U13" s="306" t="s">
        <v>72</v>
      </c>
      <c r="V13" s="307"/>
      <c r="W13" s="307"/>
      <c r="X13" s="308"/>
      <c r="Y13" s="1"/>
      <c r="Z13" s="306" t="s">
        <v>5</v>
      </c>
      <c r="AA13" s="307"/>
      <c r="AB13" s="307"/>
      <c r="AC13" s="308"/>
      <c r="AD13" s="1"/>
      <c r="AF13" s="303" t="s">
        <v>43</v>
      </c>
      <c r="AG13" s="304"/>
      <c r="AH13" s="304"/>
      <c r="AI13" s="304"/>
      <c r="AJ13" s="304"/>
      <c r="AK13" s="304"/>
      <c r="AL13" s="304"/>
      <c r="AM13" s="304"/>
      <c r="AN13" s="305"/>
    </row>
    <row r="14" spans="2:40" ht="92.1" customHeight="1" x14ac:dyDescent="0.4">
      <c r="B14" s="11" t="s">
        <v>19</v>
      </c>
      <c r="C14" s="298"/>
      <c r="D14" s="62" t="s">
        <v>74</v>
      </c>
      <c r="E14" s="53" t="s">
        <v>63</v>
      </c>
      <c r="F14" s="130"/>
      <c r="G14" s="128" t="b">
        <v>0</v>
      </c>
      <c r="I14" s="1"/>
      <c r="J14" s="18" t="s">
        <v>5</v>
      </c>
      <c r="K14" s="6" t="s">
        <v>11</v>
      </c>
      <c r="L14" s="29">
        <f>COUNTIF(G17:G20,TRUE)</f>
        <v>0</v>
      </c>
      <c r="M14" s="33">
        <f>COUNTIF(小売業編!G17:G20,FALSE)*2</f>
        <v>8</v>
      </c>
      <c r="N14" s="2"/>
      <c r="O14" s="25" t="s">
        <v>74</v>
      </c>
      <c r="P14" s="9" t="s">
        <v>37</v>
      </c>
      <c r="Q14" s="36">
        <f>COUNTIFS(G13:G35,TRUE,D13:D35,"設備・商品")</f>
        <v>0</v>
      </c>
      <c r="R14" s="34">
        <f>COUNTIFS(小売業編!G13:G35,FALSE,小売業編!D13:D35,"設備・商品")*2</f>
        <v>8</v>
      </c>
      <c r="S14" s="1"/>
      <c r="T14" s="1"/>
      <c r="U14" s="230"/>
      <c r="V14" s="231"/>
      <c r="W14" s="231"/>
      <c r="X14" s="232"/>
      <c r="Y14" s="1"/>
      <c r="Z14" s="230"/>
      <c r="AA14" s="231"/>
      <c r="AB14" s="231"/>
      <c r="AC14" s="232"/>
      <c r="AD14" s="1"/>
      <c r="AF14" s="243"/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11" t="s">
        <v>20</v>
      </c>
      <c r="C15" s="298"/>
      <c r="D15" s="62" t="s">
        <v>9</v>
      </c>
      <c r="E15" s="53" t="s">
        <v>65</v>
      </c>
      <c r="F15" s="130"/>
      <c r="G15" s="128" t="b">
        <v>0</v>
      </c>
      <c r="I15" s="1"/>
      <c r="J15" s="19" t="s">
        <v>3</v>
      </c>
      <c r="K15" s="7" t="s">
        <v>10</v>
      </c>
      <c r="L15" s="30">
        <f>COUNTIF(G21:G24,TRUE)</f>
        <v>0</v>
      </c>
      <c r="M15" s="34">
        <f>COUNTIF(小売業編!G21:G24,FALSE)*2</f>
        <v>8</v>
      </c>
      <c r="N15" s="2"/>
      <c r="O15" s="25" t="s">
        <v>9</v>
      </c>
      <c r="P15" s="9" t="s">
        <v>38</v>
      </c>
      <c r="Q15" s="36">
        <f>COUNTIFS(G13:G35,TRUE,D13:D35,"資金")</f>
        <v>0</v>
      </c>
      <c r="R15" s="34">
        <f>COUNTIFS(小売業編!G13:G35,FALSE,小売業編!D13:D35,"資金")*2</f>
        <v>8</v>
      </c>
      <c r="S15" s="1"/>
      <c r="T15" s="1"/>
      <c r="U15" s="233"/>
      <c r="V15" s="234"/>
      <c r="W15" s="234"/>
      <c r="X15" s="235"/>
      <c r="Y15" s="1"/>
      <c r="Z15" s="233"/>
      <c r="AA15" s="234"/>
      <c r="AB15" s="234"/>
      <c r="AC15" s="235"/>
      <c r="AD15" s="1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2" t="s">
        <v>21</v>
      </c>
      <c r="C16" s="299"/>
      <c r="D16" s="63" t="s">
        <v>0</v>
      </c>
      <c r="E16" s="54" t="s">
        <v>159</v>
      </c>
      <c r="F16" s="131"/>
      <c r="G16" s="128" t="b">
        <v>0</v>
      </c>
      <c r="I16" s="1"/>
      <c r="J16" s="20" t="s">
        <v>40</v>
      </c>
      <c r="K16" s="8" t="s">
        <v>8</v>
      </c>
      <c r="L16" s="31">
        <f>COUNTIF(G25:G35,TRUE)</f>
        <v>0</v>
      </c>
      <c r="M16" s="35">
        <f>COUNTIF(小売業編!G25:G35,FALSE)*2</f>
        <v>8</v>
      </c>
      <c r="N16" s="2"/>
      <c r="O16" s="26" t="s">
        <v>0</v>
      </c>
      <c r="P16" s="10" t="s">
        <v>39</v>
      </c>
      <c r="Q16" s="37">
        <f>COUNTIFS(G13:G35,TRUE,D13:D35,"情報")</f>
        <v>0</v>
      </c>
      <c r="R16" s="35">
        <f>COUNTIFS(小売業編!G13:G35,FALSE,小売業編!D13:D35,"情報")*2</f>
        <v>8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92.1" customHeight="1" thickTop="1" x14ac:dyDescent="0.4">
      <c r="B17" s="13" t="s">
        <v>22</v>
      </c>
      <c r="C17" s="297" t="s">
        <v>5</v>
      </c>
      <c r="D17" s="64" t="s">
        <v>2</v>
      </c>
      <c r="E17" s="55" t="s">
        <v>67</v>
      </c>
      <c r="F17" s="132"/>
      <c r="G17" s="128" t="b">
        <v>0</v>
      </c>
      <c r="I17" s="1"/>
      <c r="J17" s="1"/>
      <c r="K17" s="1"/>
      <c r="L17" s="1"/>
      <c r="M17" s="27"/>
      <c r="N17" s="1"/>
      <c r="O17" s="1"/>
      <c r="P17" s="1"/>
      <c r="Q17" s="1"/>
      <c r="R17" s="1"/>
      <c r="S17" s="1"/>
      <c r="T17" s="1"/>
      <c r="U17" s="306" t="s">
        <v>3</v>
      </c>
      <c r="V17" s="307"/>
      <c r="W17" s="307"/>
      <c r="X17" s="308"/>
      <c r="Y17" s="1"/>
      <c r="Z17" s="306" t="s">
        <v>41</v>
      </c>
      <c r="AA17" s="309"/>
      <c r="AB17" s="309"/>
      <c r="AC17" s="310"/>
      <c r="AD17" s="1"/>
      <c r="AF17" s="303" t="s">
        <v>44</v>
      </c>
      <c r="AG17" s="304"/>
      <c r="AH17" s="304"/>
      <c r="AI17" s="304"/>
      <c r="AJ17" s="304"/>
      <c r="AK17" s="304"/>
      <c r="AL17" s="304"/>
      <c r="AM17" s="304"/>
      <c r="AN17" s="305"/>
    </row>
    <row r="18" spans="1:40" ht="92.1" customHeight="1" x14ac:dyDescent="0.4">
      <c r="B18" s="14" t="s">
        <v>23</v>
      </c>
      <c r="C18" s="298"/>
      <c r="D18" s="62" t="s">
        <v>74</v>
      </c>
      <c r="E18" s="55" t="s">
        <v>77</v>
      </c>
      <c r="F18" s="133"/>
      <c r="G18" s="128" t="b"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30"/>
      <c r="V18" s="231"/>
      <c r="W18" s="231"/>
      <c r="X18" s="232"/>
      <c r="Y18" s="1"/>
      <c r="Z18" s="230"/>
      <c r="AA18" s="231"/>
      <c r="AB18" s="231"/>
      <c r="AC18" s="232"/>
      <c r="AD18" s="1"/>
      <c r="AF18" s="243"/>
      <c r="AG18" s="244"/>
      <c r="AH18" s="244"/>
      <c r="AI18" s="244"/>
      <c r="AJ18" s="244"/>
      <c r="AK18" s="244"/>
      <c r="AL18" s="244"/>
      <c r="AM18" s="244"/>
      <c r="AN18" s="245"/>
    </row>
    <row r="19" spans="1:40" ht="92.1" customHeight="1" x14ac:dyDescent="0.4">
      <c r="B19" s="14" t="s">
        <v>24</v>
      </c>
      <c r="C19" s="298"/>
      <c r="D19" s="62" t="s">
        <v>9</v>
      </c>
      <c r="E19" s="56" t="s">
        <v>78</v>
      </c>
      <c r="F19" s="133"/>
      <c r="G19" s="128" t="b"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33"/>
      <c r="V19" s="234"/>
      <c r="W19" s="234"/>
      <c r="X19" s="235"/>
      <c r="Y19" s="1"/>
      <c r="Z19" s="233"/>
      <c r="AA19" s="234"/>
      <c r="AB19" s="234"/>
      <c r="AC19" s="235"/>
      <c r="AD19" s="1"/>
      <c r="AF19" s="246"/>
      <c r="AG19" s="247"/>
      <c r="AH19" s="247"/>
      <c r="AI19" s="247"/>
      <c r="AJ19" s="247"/>
      <c r="AK19" s="247"/>
      <c r="AL19" s="247"/>
      <c r="AM19" s="247"/>
      <c r="AN19" s="248"/>
    </row>
    <row r="20" spans="1:40" ht="92.1" customHeight="1" thickBot="1" x14ac:dyDescent="0.45">
      <c r="B20" s="15" t="s">
        <v>25</v>
      </c>
      <c r="C20" s="299"/>
      <c r="D20" s="63" t="s">
        <v>0</v>
      </c>
      <c r="E20" s="57" t="s">
        <v>69</v>
      </c>
      <c r="F20" s="134"/>
      <c r="G20" s="128" t="b"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92.1" customHeight="1" x14ac:dyDescent="0.4">
      <c r="B21" s="16" t="s">
        <v>26</v>
      </c>
      <c r="C21" s="297" t="s">
        <v>3</v>
      </c>
      <c r="D21" s="64" t="s">
        <v>2</v>
      </c>
      <c r="E21" s="58" t="s">
        <v>79</v>
      </c>
      <c r="F21" s="135"/>
      <c r="G21" s="128" t="b">
        <v>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300" t="s">
        <v>42</v>
      </c>
      <c r="V21" s="301"/>
      <c r="W21" s="301"/>
      <c r="X21" s="302"/>
      <c r="Y21" s="3"/>
      <c r="Z21" s="300" t="s">
        <v>74</v>
      </c>
      <c r="AA21" s="301"/>
      <c r="AB21" s="301"/>
      <c r="AC21" s="302"/>
      <c r="AD21" s="1"/>
      <c r="AF21" s="303" t="s">
        <v>45</v>
      </c>
      <c r="AG21" s="304"/>
      <c r="AH21" s="304"/>
      <c r="AI21" s="304"/>
      <c r="AJ21" s="304"/>
      <c r="AK21" s="304"/>
      <c r="AL21" s="304"/>
      <c r="AM21" s="304"/>
      <c r="AN21" s="305"/>
    </row>
    <row r="22" spans="1:40" ht="92.1" customHeight="1" x14ac:dyDescent="0.4">
      <c r="B22" s="11" t="s">
        <v>27</v>
      </c>
      <c r="C22" s="298"/>
      <c r="D22" s="62" t="s">
        <v>74</v>
      </c>
      <c r="E22" s="53" t="s">
        <v>75</v>
      </c>
      <c r="F22" s="130"/>
      <c r="G22" s="128" t="b"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213"/>
      <c r="V22" s="214"/>
      <c r="W22" s="214"/>
      <c r="X22" s="215"/>
      <c r="Y22" s="3"/>
      <c r="Z22" s="213"/>
      <c r="AA22" s="214"/>
      <c r="AB22" s="214"/>
      <c r="AC22" s="215"/>
      <c r="AD22" s="1"/>
      <c r="AF22" s="243"/>
      <c r="AG22" s="244"/>
      <c r="AH22" s="244"/>
      <c r="AI22" s="244"/>
      <c r="AJ22" s="244"/>
      <c r="AK22" s="244"/>
      <c r="AL22" s="244"/>
      <c r="AM22" s="244"/>
      <c r="AN22" s="245"/>
    </row>
    <row r="23" spans="1:40" ht="92.1" customHeight="1" x14ac:dyDescent="0.4">
      <c r="B23" s="11" t="s">
        <v>28</v>
      </c>
      <c r="C23" s="298"/>
      <c r="D23" s="62" t="s">
        <v>9</v>
      </c>
      <c r="E23" s="53" t="s">
        <v>76</v>
      </c>
      <c r="F23" s="130"/>
      <c r="G23" s="128" t="b"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216"/>
      <c r="V23" s="217"/>
      <c r="W23" s="217"/>
      <c r="X23" s="218"/>
      <c r="Y23" s="3"/>
      <c r="Z23" s="216"/>
      <c r="AA23" s="217"/>
      <c r="AB23" s="217"/>
      <c r="AC23" s="218"/>
      <c r="AD23" s="1"/>
      <c r="AF23" s="246"/>
      <c r="AG23" s="247"/>
      <c r="AH23" s="247"/>
      <c r="AI23" s="247"/>
      <c r="AJ23" s="247"/>
      <c r="AK23" s="247"/>
      <c r="AL23" s="247"/>
      <c r="AM23" s="247"/>
      <c r="AN23" s="248"/>
    </row>
    <row r="24" spans="1:40" ht="92.1" customHeight="1" thickBot="1" x14ac:dyDescent="0.45">
      <c r="B24" s="12" t="s">
        <v>29</v>
      </c>
      <c r="C24" s="299"/>
      <c r="D24" s="63" t="s">
        <v>0</v>
      </c>
      <c r="E24" s="54" t="s">
        <v>80</v>
      </c>
      <c r="F24" s="131"/>
      <c r="G24" s="128" t="b"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3"/>
      <c r="V24" s="3"/>
      <c r="W24" s="3"/>
      <c r="X24" s="3"/>
      <c r="Y24" s="3"/>
      <c r="Z24" s="3"/>
      <c r="AA24" s="3"/>
      <c r="AB24" s="3"/>
      <c r="AC24" s="3"/>
      <c r="AD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23.1" customHeight="1" x14ac:dyDescent="0.4">
      <c r="A25" s="285"/>
      <c r="B25" s="289" t="s">
        <v>30</v>
      </c>
      <c r="C25" s="318" t="s">
        <v>41</v>
      </c>
      <c r="D25" s="293" t="s">
        <v>2</v>
      </c>
      <c r="E25" s="321" t="s">
        <v>135</v>
      </c>
      <c r="F25" s="192"/>
      <c r="G25" s="140" t="b"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265" t="s">
        <v>9</v>
      </c>
      <c r="V25" s="265"/>
      <c r="W25" s="265"/>
      <c r="X25" s="265"/>
      <c r="Y25" s="3"/>
      <c r="Z25" s="265" t="s">
        <v>0</v>
      </c>
      <c r="AA25" s="265"/>
      <c r="AB25" s="265"/>
      <c r="AC25" s="265"/>
      <c r="AD25" s="1"/>
      <c r="AF25" s="169"/>
      <c r="AG25" s="266" t="s">
        <v>160</v>
      </c>
      <c r="AH25" s="267"/>
      <c r="AI25" s="267"/>
      <c r="AJ25" s="267"/>
      <c r="AK25" s="267"/>
      <c r="AL25" s="267"/>
      <c r="AM25" s="267"/>
      <c r="AN25" s="268"/>
    </row>
    <row r="26" spans="1:40" ht="23.1" customHeight="1" x14ac:dyDescent="0.4">
      <c r="A26" s="285"/>
      <c r="B26" s="286"/>
      <c r="C26" s="319"/>
      <c r="D26" s="287"/>
      <c r="E26" s="288"/>
      <c r="F26" s="193"/>
      <c r="G26" s="14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265"/>
      <c r="V26" s="265"/>
      <c r="W26" s="265"/>
      <c r="X26" s="265"/>
      <c r="Y26" s="3"/>
      <c r="Z26" s="265"/>
      <c r="AA26" s="265"/>
      <c r="AB26" s="265"/>
      <c r="AC26" s="265"/>
      <c r="AD26" s="1"/>
      <c r="AF26" s="170"/>
      <c r="AG26" s="269"/>
      <c r="AH26" s="270"/>
      <c r="AI26" s="270"/>
      <c r="AJ26" s="270"/>
      <c r="AK26" s="270"/>
      <c r="AL26" s="270"/>
      <c r="AM26" s="270"/>
      <c r="AN26" s="271"/>
    </row>
    <row r="27" spans="1:40" ht="23.1" customHeight="1" x14ac:dyDescent="0.4">
      <c r="A27" s="285"/>
      <c r="B27" s="286"/>
      <c r="C27" s="319"/>
      <c r="D27" s="287"/>
      <c r="E27" s="288"/>
      <c r="F27" s="193"/>
      <c r="G27" s="14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65"/>
      <c r="V27" s="265"/>
      <c r="W27" s="265"/>
      <c r="X27" s="265"/>
      <c r="Y27" s="3"/>
      <c r="Z27" s="265"/>
      <c r="AA27" s="265"/>
      <c r="AB27" s="265"/>
      <c r="AC27" s="265"/>
      <c r="AD27" s="1"/>
      <c r="AF27" s="177"/>
      <c r="AG27" s="272" t="s">
        <v>51</v>
      </c>
      <c r="AH27" s="272"/>
      <c r="AI27" s="272"/>
      <c r="AJ27" s="272"/>
      <c r="AK27" s="272"/>
      <c r="AL27" s="272"/>
      <c r="AM27" s="272"/>
      <c r="AN27" s="273"/>
    </row>
    <row r="28" spans="1:40" ht="23.1" customHeight="1" x14ac:dyDescent="0.4">
      <c r="A28" s="285"/>
      <c r="B28" s="251"/>
      <c r="C28" s="319"/>
      <c r="D28" s="253"/>
      <c r="E28" s="255"/>
      <c r="F28" s="149"/>
      <c r="G28" s="14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65"/>
      <c r="V28" s="265"/>
      <c r="W28" s="265"/>
      <c r="X28" s="265"/>
      <c r="Y28" s="3"/>
      <c r="Z28" s="265"/>
      <c r="AA28" s="265"/>
      <c r="AB28" s="265"/>
      <c r="AC28" s="265"/>
      <c r="AD28" s="1"/>
      <c r="AF28" s="178"/>
      <c r="AG28" s="274"/>
      <c r="AH28" s="274"/>
      <c r="AI28" s="274"/>
      <c r="AJ28" s="274"/>
      <c r="AK28" s="274"/>
      <c r="AL28" s="274"/>
      <c r="AM28" s="274"/>
      <c r="AN28" s="275"/>
    </row>
    <row r="29" spans="1:40" ht="23.1" customHeight="1" x14ac:dyDescent="0.4">
      <c r="A29" s="285"/>
      <c r="B29" s="250" t="s">
        <v>31</v>
      </c>
      <c r="C29" s="319"/>
      <c r="D29" s="252" t="s">
        <v>74</v>
      </c>
      <c r="E29" s="254" t="s">
        <v>81</v>
      </c>
      <c r="F29" s="148"/>
      <c r="G29" s="140" t="b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83"/>
      <c r="V29" s="184"/>
      <c r="W29" s="184"/>
      <c r="X29" s="185"/>
      <c r="Y29" s="3"/>
      <c r="Z29" s="183"/>
      <c r="AA29" s="184"/>
      <c r="AB29" s="184"/>
      <c r="AC29" s="185"/>
      <c r="AD29" s="1"/>
      <c r="AF29" s="164"/>
      <c r="AG29" s="259" t="s">
        <v>49</v>
      </c>
      <c r="AH29" s="259"/>
      <c r="AI29" s="259"/>
      <c r="AJ29" s="259"/>
      <c r="AK29" s="259"/>
      <c r="AL29" s="259"/>
      <c r="AM29" s="259"/>
      <c r="AN29" s="260"/>
    </row>
    <row r="30" spans="1:40" ht="23.1" customHeight="1" x14ac:dyDescent="0.4">
      <c r="A30" s="285"/>
      <c r="B30" s="286"/>
      <c r="C30" s="319"/>
      <c r="D30" s="287"/>
      <c r="E30" s="288"/>
      <c r="F30" s="193"/>
      <c r="G30" s="14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86"/>
      <c r="V30" s="187"/>
      <c r="W30" s="187"/>
      <c r="X30" s="188"/>
      <c r="Y30" s="3"/>
      <c r="Z30" s="186"/>
      <c r="AA30" s="187"/>
      <c r="AB30" s="187"/>
      <c r="AC30" s="188"/>
      <c r="AD30" s="1"/>
      <c r="AF30" s="178"/>
      <c r="AG30" s="261"/>
      <c r="AH30" s="261"/>
      <c r="AI30" s="261"/>
      <c r="AJ30" s="261"/>
      <c r="AK30" s="261"/>
      <c r="AL30" s="261"/>
      <c r="AM30" s="261"/>
      <c r="AN30" s="262"/>
    </row>
    <row r="31" spans="1:40" ht="23.1" customHeight="1" x14ac:dyDescent="0.4">
      <c r="A31" s="285"/>
      <c r="B31" s="286"/>
      <c r="C31" s="319"/>
      <c r="D31" s="287"/>
      <c r="E31" s="288"/>
      <c r="F31" s="193"/>
      <c r="G31" s="14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86"/>
      <c r="V31" s="187"/>
      <c r="W31" s="187"/>
      <c r="X31" s="188"/>
      <c r="Y31" s="3"/>
      <c r="Z31" s="186"/>
      <c r="AA31" s="187"/>
      <c r="AB31" s="187"/>
      <c r="AC31" s="188"/>
      <c r="AD31" s="1"/>
      <c r="AF31" s="164"/>
      <c r="AG31" s="259" t="s">
        <v>50</v>
      </c>
      <c r="AH31" s="259"/>
      <c r="AI31" s="259"/>
      <c r="AJ31" s="259"/>
      <c r="AK31" s="259"/>
      <c r="AL31" s="259"/>
      <c r="AM31" s="259"/>
      <c r="AN31" s="260"/>
    </row>
    <row r="32" spans="1:40" ht="23.1" customHeight="1" thickBot="1" x14ac:dyDescent="0.45">
      <c r="A32" s="285"/>
      <c r="B32" s="251"/>
      <c r="C32" s="319"/>
      <c r="D32" s="253"/>
      <c r="E32" s="255"/>
      <c r="F32" s="149"/>
      <c r="G32" s="14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86"/>
      <c r="V32" s="187"/>
      <c r="W32" s="187"/>
      <c r="X32" s="188"/>
      <c r="Y32" s="1"/>
      <c r="Z32" s="186"/>
      <c r="AA32" s="187"/>
      <c r="AB32" s="187"/>
      <c r="AC32" s="188"/>
      <c r="AD32" s="1"/>
      <c r="AF32" s="165"/>
      <c r="AG32" s="263"/>
      <c r="AH32" s="263"/>
      <c r="AI32" s="263"/>
      <c r="AJ32" s="263"/>
      <c r="AK32" s="263"/>
      <c r="AL32" s="263"/>
      <c r="AM32" s="263"/>
      <c r="AN32" s="264"/>
    </row>
    <row r="33" spans="1:40" ht="45.95" customHeight="1" thickBot="1" x14ac:dyDescent="0.45">
      <c r="A33" s="42"/>
      <c r="B33" s="250" t="s">
        <v>32</v>
      </c>
      <c r="C33" s="319"/>
      <c r="D33" s="252" t="s">
        <v>9</v>
      </c>
      <c r="E33" s="254" t="s">
        <v>136</v>
      </c>
      <c r="F33" s="148"/>
      <c r="G33" s="140" t="b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86"/>
      <c r="V33" s="187"/>
      <c r="W33" s="187"/>
      <c r="X33" s="188"/>
      <c r="Y33" s="1"/>
      <c r="Z33" s="186"/>
      <c r="AA33" s="187"/>
      <c r="AB33" s="187"/>
      <c r="AC33" s="188"/>
      <c r="AD33" s="1"/>
      <c r="AF33" s="43"/>
      <c r="AG33" s="44"/>
      <c r="AH33" s="44"/>
      <c r="AI33" s="44"/>
      <c r="AJ33" s="44"/>
      <c r="AK33" s="44"/>
      <c r="AL33" s="44"/>
      <c r="AM33" s="44"/>
      <c r="AN33" s="44"/>
    </row>
    <row r="34" spans="1:40" ht="45.95" customHeight="1" x14ac:dyDescent="0.4">
      <c r="B34" s="251"/>
      <c r="C34" s="319"/>
      <c r="D34" s="253"/>
      <c r="E34" s="255"/>
      <c r="F34" s="149"/>
      <c r="G34" s="14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89"/>
      <c r="V34" s="190"/>
      <c r="W34" s="190"/>
      <c r="X34" s="191"/>
      <c r="Y34" s="1"/>
      <c r="Z34" s="189"/>
      <c r="AA34" s="190"/>
      <c r="AB34" s="190"/>
      <c r="AC34" s="191"/>
      <c r="AD34" s="1"/>
      <c r="AF34" s="150"/>
      <c r="AG34" s="151"/>
      <c r="AH34" s="151"/>
      <c r="AI34" s="151"/>
      <c r="AJ34" s="151"/>
      <c r="AK34" s="151"/>
      <c r="AL34" s="151"/>
      <c r="AM34" s="151"/>
      <c r="AN34" s="152"/>
    </row>
    <row r="35" spans="1:40" ht="45.95" customHeight="1" thickBot="1" x14ac:dyDescent="0.45">
      <c r="B35" s="250" t="s">
        <v>33</v>
      </c>
      <c r="C35" s="319"/>
      <c r="D35" s="252" t="s">
        <v>0</v>
      </c>
      <c r="E35" s="254" t="s">
        <v>82</v>
      </c>
      <c r="F35" s="148"/>
      <c r="G35" s="140" t="b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5"/>
      <c r="V35" s="45"/>
      <c r="W35" s="45"/>
      <c r="X35" s="45"/>
      <c r="Y35" s="1"/>
      <c r="Z35" s="45"/>
      <c r="AA35" s="45"/>
      <c r="AB35" s="45"/>
      <c r="AC35" s="45"/>
      <c r="AD35" s="1"/>
      <c r="AF35" s="153"/>
      <c r="AG35" s="154"/>
      <c r="AH35" s="154"/>
      <c r="AI35" s="154"/>
      <c r="AJ35" s="154"/>
      <c r="AK35" s="154"/>
      <c r="AL35" s="154"/>
      <c r="AM35" s="154"/>
      <c r="AN35" s="155"/>
    </row>
    <row r="36" spans="1:40" ht="45.95" customHeight="1" thickBot="1" x14ac:dyDescent="0.45">
      <c r="B36" s="256"/>
      <c r="C36" s="320"/>
      <c r="D36" s="257"/>
      <c r="E36" s="258"/>
      <c r="F36" s="159"/>
      <c r="G36" s="14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49"/>
      <c r="AG36" s="249"/>
      <c r="AH36" s="249"/>
      <c r="AI36" s="249"/>
      <c r="AJ36" s="249"/>
      <c r="AK36" s="249"/>
      <c r="AL36" s="249"/>
      <c r="AM36" s="249"/>
      <c r="AN36" s="249"/>
    </row>
    <row r="37" spans="1:40" ht="56.1" customHeight="1" x14ac:dyDescent="0.3"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AF37" s="4"/>
      <c r="AG37" s="4"/>
      <c r="AH37" s="4"/>
      <c r="AI37" s="66" t="s">
        <v>46</v>
      </c>
      <c r="AJ37" s="139"/>
      <c r="AK37" s="139"/>
      <c r="AL37" s="139"/>
      <c r="AM37" s="139"/>
      <c r="AN37" s="139"/>
    </row>
    <row r="44" spans="1:40" ht="27.75" x14ac:dyDescent="0.4">
      <c r="R44" ph="1"/>
      <c r="S44" ph="1"/>
    </row>
    <row r="46" spans="1:40" ht="27.75" x14ac:dyDescent="0.4">
      <c r="R46" ph="1"/>
      <c r="S46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F29:F32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G29:G32"/>
    <mergeCell ref="U29:X34"/>
    <mergeCell ref="Z29:AC34"/>
    <mergeCell ref="AF29:AF30"/>
    <mergeCell ref="G35:G36"/>
    <mergeCell ref="AF36:AN36"/>
    <mergeCell ref="AJ37:AN37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43FA2-9FB0-4F96-A1D4-A7D2A6526FA8}">
  <sheetPr codeName="Sheet11">
    <tabColor rgb="FF0066CC"/>
  </sheetPr>
  <dimension ref="A1:AN46"/>
  <sheetViews>
    <sheetView view="pageBreakPreview" zoomScale="40" zoomScaleNormal="100" zoomScaleSheetLayoutView="40" workbookViewId="0" tabSelected="1">
      <pane xSplit="18585" topLeftCell="T1"/>
      <selection activeCell="F13" sqref="F13"/>
      <selection pane="topRight" activeCell="F13" sqref="F13"/>
    </sheetView>
  </sheetViews>
  <sheetFormatPr defaultRowHeight="18.75" x14ac:dyDescent="0.4"/>
  <cols>
    <col min="1" max="1" width="6.625" customWidth="1"/>
    <col min="2" max="2" width="16.625" customWidth="1"/>
    <col min="3" max="3" width="18.625" customWidth="1"/>
    <col min="4" max="4" width="24.625" customWidth="1"/>
    <col min="5" max="5" width="100.625" customWidth="1"/>
    <col min="6" max="6" width="13.375" customWidth="1"/>
    <col min="7" max="7" width="12.625" hidden="1" customWidth="1"/>
    <col min="8" max="9" width="6.625" customWidth="1"/>
    <col min="10" max="10" width="18.625" customWidth="1"/>
    <col min="11" max="13" width="23.625" customWidth="1"/>
    <col min="14" max="14" width="8.625" customWidth="1"/>
    <col min="15" max="15" width="18.625" customWidth="1"/>
    <col min="16" max="18" width="21.625" customWidth="1"/>
    <col min="19" max="20" width="6.625" customWidth="1"/>
    <col min="21" max="24" width="21.625" customWidth="1"/>
    <col min="25" max="25" width="6.625" customWidth="1"/>
    <col min="26" max="29" width="21.625" customWidth="1"/>
    <col min="30" max="30" width="6.625" customWidth="1"/>
    <col min="31" max="31" width="8.125" customWidth="1"/>
    <col min="32" max="40" width="19.625" customWidth="1"/>
    <col min="41" max="41" width="8.125" customWidth="1"/>
  </cols>
  <sheetData>
    <row r="1" spans="2:40" x14ac:dyDescent="0.4"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40" x14ac:dyDescent="0.4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40" x14ac:dyDescent="0.4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40" x14ac:dyDescent="0.4"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40" x14ac:dyDescent="0.4"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40" x14ac:dyDescent="0.4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40" x14ac:dyDescent="0.4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40" ht="42" customHeight="1" x14ac:dyDescent="0.4"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40" ht="42" customHeight="1" x14ac:dyDescent="0.4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11" t="s">
        <v>47</v>
      </c>
      <c r="Y9" s="311"/>
      <c r="Z9" s="311"/>
      <c r="AA9" s="1"/>
      <c r="AB9" s="1"/>
      <c r="AC9" s="1"/>
      <c r="AD9" s="1"/>
      <c r="AI9" s="311" t="s">
        <v>48</v>
      </c>
      <c r="AJ9" s="312"/>
      <c r="AK9" s="312"/>
    </row>
    <row r="10" spans="2:40" ht="42" customHeight="1" x14ac:dyDescent="0.4"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311"/>
      <c r="Y10" s="311"/>
      <c r="Z10" s="311"/>
      <c r="AA10" s="1"/>
      <c r="AB10" s="1"/>
      <c r="AC10" s="1"/>
      <c r="AD10" s="1"/>
      <c r="AI10" s="312"/>
      <c r="AJ10" s="312"/>
      <c r="AK10" s="312"/>
    </row>
    <row r="11" spans="2:40" ht="42" customHeight="1" thickBot="1" x14ac:dyDescent="0.45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40" ht="39.950000000000003" customHeight="1" thickTop="1" thickBot="1" x14ac:dyDescent="0.45">
      <c r="B12" s="48"/>
      <c r="C12" s="59" t="s">
        <v>17</v>
      </c>
      <c r="D12" s="60" t="s">
        <v>7</v>
      </c>
      <c r="E12" s="65" t="s">
        <v>6</v>
      </c>
      <c r="F12" s="51" t="s">
        <v>16</v>
      </c>
      <c r="I12" s="1"/>
      <c r="J12" s="313" t="s">
        <v>15</v>
      </c>
      <c r="K12" s="314"/>
      <c r="L12" s="39" t="s">
        <v>35</v>
      </c>
      <c r="M12" s="41" t="s">
        <v>13</v>
      </c>
      <c r="N12" s="1"/>
      <c r="O12" s="315" t="s">
        <v>14</v>
      </c>
      <c r="P12" s="316"/>
      <c r="Q12" s="40" t="s">
        <v>35</v>
      </c>
      <c r="R12" s="38" t="s">
        <v>13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40" ht="92.1" customHeight="1" x14ac:dyDescent="0.4">
      <c r="B13" s="47" t="s">
        <v>18</v>
      </c>
      <c r="C13" s="317" t="s">
        <v>72</v>
      </c>
      <c r="D13" s="61" t="s">
        <v>2</v>
      </c>
      <c r="E13" s="52" t="s">
        <v>130</v>
      </c>
      <c r="F13" s="129"/>
      <c r="G13" s="128" t="b">
        <v>0</v>
      </c>
      <c r="I13" s="1"/>
      <c r="J13" s="17" t="s">
        <v>72</v>
      </c>
      <c r="K13" s="5" t="s">
        <v>12</v>
      </c>
      <c r="L13" s="28">
        <f>COUNTIF(G13:G16,TRUE)</f>
        <v>1</v>
      </c>
      <c r="M13" s="32">
        <f>COUNTIF(サービス業編!G13:G16,FALSE)*2</f>
        <v>6</v>
      </c>
      <c r="N13" s="2"/>
      <c r="O13" s="24" t="s">
        <v>42</v>
      </c>
      <c r="P13" s="9" t="s">
        <v>36</v>
      </c>
      <c r="Q13" s="36">
        <f>COUNTIFS(G13:G35,TRUE,D13:D35,"人材・組織")</f>
        <v>2</v>
      </c>
      <c r="R13" s="34">
        <f>COUNTIFS(サービス業編!G13:G35,FALSE,サービス業編!D13:D35,"人材・組織")*2</f>
        <v>4</v>
      </c>
      <c r="S13" s="1"/>
      <c r="T13" s="1"/>
      <c r="U13" s="306" t="s">
        <v>72</v>
      </c>
      <c r="V13" s="307"/>
      <c r="W13" s="307"/>
      <c r="X13" s="308"/>
      <c r="Y13" s="1"/>
      <c r="Z13" s="306" t="s">
        <v>88</v>
      </c>
      <c r="AA13" s="307"/>
      <c r="AB13" s="307"/>
      <c r="AC13" s="308"/>
      <c r="AD13" s="1"/>
      <c r="AF13" s="303" t="s">
        <v>43</v>
      </c>
      <c r="AG13" s="304"/>
      <c r="AH13" s="304"/>
      <c r="AI13" s="304"/>
      <c r="AJ13" s="304"/>
      <c r="AK13" s="304"/>
      <c r="AL13" s="304"/>
      <c r="AM13" s="304"/>
      <c r="AN13" s="305"/>
    </row>
    <row r="14" spans="2:40" ht="92.1" customHeight="1" x14ac:dyDescent="0.4">
      <c r="B14" s="11" t="s">
        <v>19</v>
      </c>
      <c r="C14" s="298"/>
      <c r="D14" s="21" t="s">
        <v>89</v>
      </c>
      <c r="E14" s="53" t="s">
        <v>83</v>
      </c>
      <c r="F14" s="130"/>
      <c r="G14" s="128" t="b">
        <v>0</v>
      </c>
      <c r="I14" s="1"/>
      <c r="J14" s="18" t="s">
        <v>88</v>
      </c>
      <c r="K14" s="6" t="s">
        <v>11</v>
      </c>
      <c r="L14" s="29">
        <f>COUNTIF(G17:G20,TRUE)</f>
        <v>2</v>
      </c>
      <c r="M14" s="33">
        <f>COUNTIF(サービス業編!G17:G20,FALSE)*2</f>
        <v>4</v>
      </c>
      <c r="N14" s="2"/>
      <c r="O14" s="24" t="s">
        <v>90</v>
      </c>
      <c r="P14" s="9" t="s">
        <v>37</v>
      </c>
      <c r="Q14" s="36">
        <f>COUNTIFS(G13:G35,TRUE,D13:D35,"設備・サービス")</f>
        <v>0</v>
      </c>
      <c r="R14" s="34">
        <f>COUNTIFS(サービス業編!G13:G35,FALSE,サービス業編!D13:D35,"設備・サービス")*2</f>
        <v>8</v>
      </c>
      <c r="S14" s="1"/>
      <c r="T14" s="1"/>
      <c r="U14" s="230" t="inlineStr">
        <is>
          <t xml:space="preserve">AI・Web・ゲームUI・交通データを組み合わせた企画力があり、
観光DXや出版社IP占い企画まで具体化。
一方、資金制約により複数事業の同時展開が難しい。</t>
        </is>
      </c>
      <c r="V14" s="231"/>
      <c r="W14" s="231"/>
      <c r="X14" s="232"/>
      <c r="Y14" s="1"/>
      <c r="Z14" s="230" t="inlineStr">
        <is>
          <t xml:space="preserve">営業・販促の専任者がおらず、代表者が開発と兼務している。
自治体、観光局、出版社、IP保有者及び外部プロデュース会社との連携で
販路を補強する。</t>
        </is>
      </c>
      <c r="AA14" s="231"/>
      <c r="AB14" s="231"/>
      <c r="AC14" s="232"/>
      <c r="AD14" s="1"/>
      <c r="AF14" s="243" t="inlineStr">
        <is>
          <t xml:space="preserve">生成AIの普及は従来型外注開発には逆風だが、
自治体DX、多言語観光案内及びAIと出版IPを組み合わせた
Webサービスには新たな需要が生じている。</t>
        </is>
      </c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11" t="s">
        <v>20</v>
      </c>
      <c r="C15" s="298"/>
      <c r="D15" s="62" t="s">
        <v>9</v>
      </c>
      <c r="E15" s="53" t="s">
        <v>131</v>
      </c>
      <c r="F15" s="130"/>
      <c r="G15" s="128" t="b">
        <v>1</v>
      </c>
      <c r="I15" s="1"/>
      <c r="J15" s="19" t="s">
        <v>91</v>
      </c>
      <c r="K15" s="7" t="s">
        <v>10</v>
      </c>
      <c r="L15" s="30">
        <f>COUNTIF(G21:G24,TRUE)</f>
        <v>0</v>
      </c>
      <c r="M15" s="34">
        <f>COUNTIF(サービス業編!G21:G24,FALSE)*2</f>
        <v>8</v>
      </c>
      <c r="N15" s="2"/>
      <c r="O15" s="25" t="s">
        <v>9</v>
      </c>
      <c r="P15" s="9" t="s">
        <v>38</v>
      </c>
      <c r="Q15" s="36">
        <f>COUNTIFS(G13:G35,TRUE,D13:D35,"資金")</f>
        <v>3</v>
      </c>
      <c r="R15" s="34">
        <f>COUNTIFS(サービス業編!G13:G35,FALSE,サービス業編!D13:D35,"資金")*2</f>
        <v>2</v>
      </c>
      <c r="S15" s="1"/>
      <c r="T15" s="1"/>
      <c r="U15" s="233"/>
      <c r="V15" s="234"/>
      <c r="W15" s="234"/>
      <c r="X15" s="235"/>
      <c r="Y15" s="1"/>
      <c r="Z15" s="233"/>
      <c r="AA15" s="234"/>
      <c r="AB15" s="234"/>
      <c r="AC15" s="235"/>
      <c r="AD15" s="1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2" t="s">
        <v>21</v>
      </c>
      <c r="C16" s="299"/>
      <c r="D16" s="63" t="s">
        <v>0</v>
      </c>
      <c r="E16" s="54" t="s">
        <v>132</v>
      </c>
      <c r="F16" s="131"/>
      <c r="G16" s="128" t="b">
        <v>0</v>
      </c>
      <c r="I16" s="1"/>
      <c r="J16" s="20" t="s">
        <v>40</v>
      </c>
      <c r="K16" s="8" t="s">
        <v>8</v>
      </c>
      <c r="L16" s="31">
        <f>COUNTIF(G25:G35,TRUE)</f>
        <v>2</v>
      </c>
      <c r="M16" s="35">
        <f>COUNTIF(サービス業編!G25:G35,FALSE)*2</f>
        <v>4</v>
      </c>
      <c r="N16" s="2"/>
      <c r="O16" s="26" t="s">
        <v>0</v>
      </c>
      <c r="P16" s="10" t="s">
        <v>39</v>
      </c>
      <c r="Q16" s="37">
        <f>COUNTIFS(G13:G35,TRUE,D13:D35,"情報")</f>
        <v>0</v>
      </c>
      <c r="R16" s="35">
        <f>COUNTIFS(サービス業編!G13:G35,FALSE,サービス業編!D13:D35,"情報")*2</f>
        <v>8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92.1" customHeight="1" thickTop="1" x14ac:dyDescent="0.4">
      <c r="B17" s="13" t="s">
        <v>22</v>
      </c>
      <c r="C17" s="297" t="s">
        <v>88</v>
      </c>
      <c r="D17" s="64" t="s">
        <v>2</v>
      </c>
      <c r="E17" s="55" t="s">
        <v>161</v>
      </c>
      <c r="F17" s="132"/>
      <c r="G17" s="128" t="b">
        <v>1</v>
      </c>
      <c r="I17" s="1"/>
      <c r="J17" s="1"/>
      <c r="K17" s="1"/>
      <c r="L17" s="1"/>
      <c r="M17" s="27"/>
      <c r="N17" s="1"/>
      <c r="O17" s="1"/>
      <c r="P17" s="1"/>
      <c r="Q17" s="1"/>
      <c r="R17" s="1"/>
      <c r="S17" s="1"/>
      <c r="T17" s="1"/>
      <c r="U17" s="306" t="s">
        <v>91</v>
      </c>
      <c r="V17" s="307"/>
      <c r="W17" s="307"/>
      <c r="X17" s="308"/>
      <c r="Y17" s="1"/>
      <c r="Z17" s="306" t="s">
        <v>41</v>
      </c>
      <c r="AA17" s="309"/>
      <c r="AB17" s="309"/>
      <c r="AC17" s="310"/>
      <c r="AD17" s="1"/>
      <c r="AF17" s="303" t="s">
        <v>44</v>
      </c>
      <c r="AG17" s="304"/>
      <c r="AH17" s="304"/>
      <c r="AI17" s="304"/>
      <c r="AJ17" s="304"/>
      <c r="AK17" s="304"/>
      <c r="AL17" s="304"/>
      <c r="AM17" s="304"/>
      <c r="AN17" s="305"/>
    </row>
    <row r="18" spans="1:40" ht="92.1" customHeight="1" x14ac:dyDescent="0.4">
      <c r="B18" s="14" t="s">
        <v>23</v>
      </c>
      <c r="C18" s="298"/>
      <c r="D18" s="21" t="s">
        <v>89</v>
      </c>
      <c r="E18" s="55" t="s">
        <v>84</v>
      </c>
      <c r="F18" s="133"/>
      <c r="G18" s="128" t="b"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30" t="inlineStr">
        <is>
          <t xml:space="preserve">共通Web基盤とAI技術を再利用し、
少人数・短期間で高付加価値のシステムを開発できる。
観光DX700万円案件を実績化する。</t>
        </is>
      </c>
      <c r="V18" s="231"/>
      <c r="W18" s="231"/>
      <c r="X18" s="232"/>
      <c r="Y18" s="1"/>
      <c r="Z18" s="230" t="inlineStr">
        <is>
          <t xml:space="preserve">顧客対応は迅速だが、継続保守及び顧客管理の仕組み化が不足している。
保守契約、利用ログ及び定期報告の仕組みを整備する。</t>
        </is>
      </c>
      <c r="AA18" s="231"/>
      <c r="AB18" s="231"/>
      <c r="AC18" s="232"/>
      <c r="AD18" s="1"/>
      <c r="AF18" s="243" t="inlineStr">
        <is>
          <t xml:space="preserve">ゲーム会社のタイトル選別、開発内製化及び外注抑制により、案件数の減少と
契約判断の長期化が進んでいる。一方、観光DX700万円案件が契約段階まで進み、
出版社IPを活用する占いサービスの共同企画も具体化している。</t>
        </is>
      </c>
      <c r="AG18" s="244"/>
      <c r="AH18" s="244"/>
      <c r="AI18" s="244"/>
      <c r="AJ18" s="244"/>
      <c r="AK18" s="244"/>
      <c r="AL18" s="244"/>
      <c r="AM18" s="244"/>
      <c r="AN18" s="245"/>
    </row>
    <row r="19" spans="1:40" ht="92.1" customHeight="1" x14ac:dyDescent="0.4">
      <c r="B19" s="14" t="s">
        <v>24</v>
      </c>
      <c r="C19" s="298"/>
      <c r="D19" s="62" t="s">
        <v>9</v>
      </c>
      <c r="E19" s="56" t="s">
        <v>85</v>
      </c>
      <c r="F19" s="133"/>
      <c r="G19" s="128" t="b">
        <v>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33"/>
      <c r="V19" s="234"/>
      <c r="W19" s="234"/>
      <c r="X19" s="235"/>
      <c r="Y19" s="1"/>
      <c r="Z19" s="233"/>
      <c r="AA19" s="234"/>
      <c r="AB19" s="234"/>
      <c r="AC19" s="235"/>
      <c r="AD19" s="1"/>
      <c r="AF19" s="246"/>
      <c r="AG19" s="247"/>
      <c r="AH19" s="247"/>
      <c r="AI19" s="247"/>
      <c r="AJ19" s="247"/>
      <c r="AK19" s="247"/>
      <c r="AL19" s="247"/>
      <c r="AM19" s="247"/>
      <c r="AN19" s="248"/>
    </row>
    <row r="20" spans="1:40" ht="92.1" customHeight="1" thickBot="1" x14ac:dyDescent="0.45">
      <c r="B20" s="15" t="s">
        <v>25</v>
      </c>
      <c r="C20" s="299"/>
      <c r="D20" s="63" t="s">
        <v>0</v>
      </c>
      <c r="E20" s="57" t="s">
        <v>86</v>
      </c>
      <c r="F20" s="134"/>
      <c r="G20" s="128" t="b"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92.1" customHeight="1" x14ac:dyDescent="0.4">
      <c r="B21" s="16" t="s">
        <v>26</v>
      </c>
      <c r="C21" s="297" t="s">
        <v>91</v>
      </c>
      <c r="D21" s="64" t="s">
        <v>2</v>
      </c>
      <c r="E21" s="58" t="s">
        <v>79</v>
      </c>
      <c r="F21" s="135"/>
      <c r="G21" s="128" t="b">
        <v>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300" t="s">
        <v>42</v>
      </c>
      <c r="V21" s="301"/>
      <c r="W21" s="301"/>
      <c r="X21" s="302"/>
      <c r="Y21" s="3"/>
      <c r="Z21" s="300" t="s">
        <v>89</v>
      </c>
      <c r="AA21" s="301"/>
      <c r="AB21" s="301"/>
      <c r="AC21" s="302"/>
      <c r="AD21" s="1"/>
      <c r="AF21" s="303" t="s">
        <v>45</v>
      </c>
      <c r="AG21" s="304"/>
      <c r="AH21" s="304"/>
      <c r="AI21" s="304"/>
      <c r="AJ21" s="304"/>
      <c r="AK21" s="304"/>
      <c r="AL21" s="304"/>
      <c r="AM21" s="304"/>
      <c r="AN21" s="305"/>
    </row>
    <row r="22" spans="1:40" ht="92.1" customHeight="1" x14ac:dyDescent="0.4">
      <c r="B22" s="11" t="s">
        <v>27</v>
      </c>
      <c r="C22" s="298"/>
      <c r="D22" s="21" t="s">
        <v>89</v>
      </c>
      <c r="E22" s="53" t="s">
        <v>133</v>
      </c>
      <c r="F22" s="130"/>
      <c r="G22" s="128" t="b"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213" t="inlineStr">
        <is>
          <t xml:space="preserve">企画・開発人材は揃っているが、営業、販促及び顧客管理が
代表者に集中している。社内の役割分担を明確化し、
外部パートナーも活用する。</t>
        </is>
      </c>
      <c r="V22" s="214"/>
      <c r="W22" s="214"/>
      <c r="X22" s="215"/>
      <c r="Y22" s="3"/>
      <c r="Z22" s="213" t="inlineStr">
        <is>
          <t xml:space="preserve">既存Web基盤、AI占い基盤、交通データ処理、地図及び経路案内技術を
保有している。既存資産の再利用により開発工数、外注費及び
初期投資を抑える。</t>
        </is>
      </c>
      <c r="AA22" s="214"/>
      <c r="AB22" s="214"/>
      <c r="AC22" s="215"/>
      <c r="AD22" s="1"/>
      <c r="AF22" s="243" t="inlineStr">
        <is>
          <t xml:space="preserve">生成AIを利用した低価格・短納期開発が増え、従来型の受託開発競争が
激化している。一方、ゲームUI、Web、AI及び交通データを
一体で扱えることが当社の差別化要因である。</t>
        </is>
      </c>
      <c r="AG22" s="244"/>
      <c r="AH22" s="244"/>
      <c r="AI22" s="244"/>
      <c r="AJ22" s="244"/>
      <c r="AK22" s="244"/>
      <c r="AL22" s="244"/>
      <c r="AM22" s="244"/>
      <c r="AN22" s="245"/>
    </row>
    <row r="23" spans="1:40" ht="92.1" customHeight="1" x14ac:dyDescent="0.4">
      <c r="B23" s="11" t="s">
        <v>28</v>
      </c>
      <c r="C23" s="298"/>
      <c r="D23" s="62" t="s">
        <v>9</v>
      </c>
      <c r="E23" s="53" t="s">
        <v>134</v>
      </c>
      <c r="F23" s="130"/>
      <c r="G23" s="128" t="b"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216"/>
      <c r="V23" s="217"/>
      <c r="W23" s="217"/>
      <c r="X23" s="218"/>
      <c r="Y23" s="3"/>
      <c r="Z23" s="216"/>
      <c r="AA23" s="217"/>
      <c r="AB23" s="217"/>
      <c r="AC23" s="218"/>
      <c r="AD23" s="1"/>
      <c r="AF23" s="246"/>
      <c r="AG23" s="247"/>
      <c r="AH23" s="247"/>
      <c r="AI23" s="247"/>
      <c r="AJ23" s="247"/>
      <c r="AK23" s="247"/>
      <c r="AL23" s="247"/>
      <c r="AM23" s="247"/>
      <c r="AN23" s="248"/>
    </row>
    <row r="24" spans="1:40" ht="92.1" customHeight="1" thickBot="1" x14ac:dyDescent="0.45">
      <c r="B24" s="12" t="s">
        <v>29</v>
      </c>
      <c r="C24" s="299"/>
      <c r="D24" s="63" t="s">
        <v>0</v>
      </c>
      <c r="E24" s="54" t="s">
        <v>87</v>
      </c>
      <c r="F24" s="131"/>
      <c r="G24" s="128" t="b"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3"/>
      <c r="V24" s="3"/>
      <c r="W24" s="3"/>
      <c r="X24" s="3"/>
      <c r="Y24" s="3"/>
      <c r="Z24" s="3"/>
      <c r="AA24" s="3"/>
      <c r="AB24" s="3"/>
      <c r="AC24" s="3"/>
      <c r="AD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23.1" customHeight="1" x14ac:dyDescent="0.4">
      <c r="A25" s="285"/>
      <c r="B25" s="289" t="s">
        <v>30</v>
      </c>
      <c r="C25" s="318" t="s">
        <v>41</v>
      </c>
      <c r="D25" s="293" t="s">
        <v>2</v>
      </c>
      <c r="E25" s="321" t="s">
        <v>135</v>
      </c>
      <c r="F25" s="192"/>
      <c r="G25" s="140" t="b">
        <v>1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265" t="s">
        <v>9</v>
      </c>
      <c r="V25" s="265"/>
      <c r="W25" s="265"/>
      <c r="X25" s="265"/>
      <c r="Y25" s="3"/>
      <c r="Z25" s="265" t="s">
        <v>0</v>
      </c>
      <c r="AA25" s="265"/>
      <c r="AB25" s="265"/>
      <c r="AC25" s="265"/>
      <c r="AD25" s="1"/>
      <c r="AF25" s="169" t="inlineStr">
        <is>
          <t xml:space="preserve">☑</t>
        </is>
      </c>
      <c r="AG25" s="266" t="s">
        <v>160</v>
      </c>
      <c r="AH25" s="267"/>
      <c r="AI25" s="267"/>
      <c r="AJ25" s="267"/>
      <c r="AK25" s="267"/>
      <c r="AL25" s="267"/>
      <c r="AM25" s="267"/>
      <c r="AN25" s="268"/>
    </row>
    <row r="26" spans="1:40" ht="23.1" customHeight="1" x14ac:dyDescent="0.4">
      <c r="A26" s="285"/>
      <c r="B26" s="286"/>
      <c r="C26" s="319"/>
      <c r="D26" s="287"/>
      <c r="E26" s="288"/>
      <c r="F26" s="193"/>
      <c r="G26" s="14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265"/>
      <c r="V26" s="265"/>
      <c r="W26" s="265"/>
      <c r="X26" s="265"/>
      <c r="Y26" s="3"/>
      <c r="Z26" s="265"/>
      <c r="AA26" s="265"/>
      <c r="AB26" s="265"/>
      <c r="AC26" s="265"/>
      <c r="AD26" s="1"/>
      <c r="AF26" s="170"/>
      <c r="AG26" s="269"/>
      <c r="AH26" s="270"/>
      <c r="AI26" s="270"/>
      <c r="AJ26" s="270"/>
      <c r="AK26" s="270"/>
      <c r="AL26" s="270"/>
      <c r="AM26" s="270"/>
      <c r="AN26" s="271"/>
    </row>
    <row r="27" spans="1:40" ht="23.1" customHeight="1" x14ac:dyDescent="0.4">
      <c r="A27" s="285"/>
      <c r="B27" s="286"/>
      <c r="C27" s="319"/>
      <c r="D27" s="287"/>
      <c r="E27" s="288"/>
      <c r="F27" s="193"/>
      <c r="G27" s="14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65"/>
      <c r="V27" s="265"/>
      <c r="W27" s="265"/>
      <c r="X27" s="265"/>
      <c r="Y27" s="3"/>
      <c r="Z27" s="265"/>
      <c r="AA27" s="265"/>
      <c r="AB27" s="265"/>
      <c r="AC27" s="265"/>
      <c r="AD27" s="1"/>
      <c r="AF27" s="177" t="inlineStr">
        <is>
          <t xml:space="preserve">☑</t>
        </is>
      </c>
      <c r="AG27" s="272" t="s">
        <v>51</v>
      </c>
      <c r="AH27" s="272"/>
      <c r="AI27" s="272"/>
      <c r="AJ27" s="272"/>
      <c r="AK27" s="272"/>
      <c r="AL27" s="272"/>
      <c r="AM27" s="272"/>
      <c r="AN27" s="273"/>
    </row>
    <row r="28" spans="1:40" ht="23.1" customHeight="1" x14ac:dyDescent="0.4">
      <c r="A28" s="285"/>
      <c r="B28" s="251"/>
      <c r="C28" s="319"/>
      <c r="D28" s="253"/>
      <c r="E28" s="255"/>
      <c r="F28" s="149"/>
      <c r="G28" s="14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65"/>
      <c r="V28" s="265"/>
      <c r="W28" s="265"/>
      <c r="X28" s="265"/>
      <c r="Y28" s="3"/>
      <c r="Z28" s="265"/>
      <c r="AA28" s="265"/>
      <c r="AB28" s="265"/>
      <c r="AC28" s="265"/>
      <c r="AD28" s="1"/>
      <c r="AF28" s="178"/>
      <c r="AG28" s="274"/>
      <c r="AH28" s="274"/>
      <c r="AI28" s="274"/>
      <c r="AJ28" s="274"/>
      <c r="AK28" s="274"/>
      <c r="AL28" s="274"/>
      <c r="AM28" s="274"/>
      <c r="AN28" s="275"/>
    </row>
    <row r="29" spans="1:40" ht="23.1" customHeight="1" x14ac:dyDescent="0.4">
      <c r="A29" s="285"/>
      <c r="B29" s="250" t="s">
        <v>31</v>
      </c>
      <c r="C29" s="319"/>
      <c r="D29" s="322" t="s">
        <v>89</v>
      </c>
      <c r="E29" s="254" t="s">
        <v>81</v>
      </c>
      <c r="F29" s="148"/>
      <c r="G29" s="140" t="b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83" t="inlineStr">
        <is>
          <t xml:space="preserve">受注空白と元金返済再開により一時的に資金不足。
役員報酬30％削減、代表者債権債務689万円の相殺、分割請求、
元金据置及び追加運転資金で改善する。</t>
        </is>
      </c>
      <c r="V29" s="184"/>
      <c r="W29" s="184"/>
      <c r="X29" s="185"/>
      <c r="Y29" s="3"/>
      <c r="Z29" s="183" t="inlineStr">
        <is>
          <t xml:space="preserve">AI、競合、市場及び顧客情報を継続的に収集している。
営業案件、顧客意見、契約状況及び入金予定の一元管理を強化する。</t>
        </is>
      </c>
      <c r="AA29" s="184"/>
      <c r="AB29" s="184"/>
      <c r="AC29" s="185"/>
      <c r="AD29" s="1"/>
      <c r="AF29" s="164" t="inlineStr">
        <is>
          <t xml:space="preserve"/>
        </is>
      </c>
      <c r="AG29" s="259" t="s">
        <v>49</v>
      </c>
      <c r="AH29" s="259"/>
      <c r="AI29" s="259"/>
      <c r="AJ29" s="259"/>
      <c r="AK29" s="259"/>
      <c r="AL29" s="259"/>
      <c r="AM29" s="259"/>
      <c r="AN29" s="260"/>
    </row>
    <row r="30" spans="1:40" ht="23.1" customHeight="1" x14ac:dyDescent="0.4">
      <c r="A30" s="285"/>
      <c r="B30" s="286"/>
      <c r="C30" s="319"/>
      <c r="D30" s="323"/>
      <c r="E30" s="288"/>
      <c r="F30" s="193"/>
      <c r="G30" s="14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86"/>
      <c r="V30" s="187"/>
      <c r="W30" s="187"/>
      <c r="X30" s="188"/>
      <c r="Y30" s="3"/>
      <c r="Z30" s="186"/>
      <c r="AA30" s="187"/>
      <c r="AB30" s="187"/>
      <c r="AC30" s="188"/>
      <c r="AD30" s="1"/>
      <c r="AF30" s="178"/>
      <c r="AG30" s="261"/>
      <c r="AH30" s="261"/>
      <c r="AI30" s="261"/>
      <c r="AJ30" s="261"/>
      <c r="AK30" s="261"/>
      <c r="AL30" s="261"/>
      <c r="AM30" s="261"/>
      <c r="AN30" s="262"/>
    </row>
    <row r="31" spans="1:40" ht="23.1" customHeight="1" x14ac:dyDescent="0.4">
      <c r="A31" s="285"/>
      <c r="B31" s="286"/>
      <c r="C31" s="319"/>
      <c r="D31" s="323"/>
      <c r="E31" s="288"/>
      <c r="F31" s="193"/>
      <c r="G31" s="14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86"/>
      <c r="V31" s="187"/>
      <c r="W31" s="187"/>
      <c r="X31" s="188"/>
      <c r="Y31" s="3"/>
      <c r="Z31" s="186"/>
      <c r="AA31" s="187"/>
      <c r="AB31" s="187"/>
      <c r="AC31" s="188"/>
      <c r="AD31" s="1"/>
      <c r="AF31" s="164" t="inlineStr">
        <is>
          <t xml:space="preserve"/>
        </is>
      </c>
      <c r="AG31" s="259" t="s">
        <v>50</v>
      </c>
      <c r="AH31" s="259"/>
      <c r="AI31" s="259"/>
      <c r="AJ31" s="259"/>
      <c r="AK31" s="259"/>
      <c r="AL31" s="259"/>
      <c r="AM31" s="259"/>
      <c r="AN31" s="260"/>
    </row>
    <row r="32" spans="1:40" ht="23.1" customHeight="1" thickBot="1" x14ac:dyDescent="0.45">
      <c r="A32" s="285"/>
      <c r="B32" s="251"/>
      <c r="C32" s="319"/>
      <c r="D32" s="324"/>
      <c r="E32" s="255"/>
      <c r="F32" s="149"/>
      <c r="G32" s="14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86"/>
      <c r="V32" s="187"/>
      <c r="W32" s="187"/>
      <c r="X32" s="188"/>
      <c r="Y32" s="1"/>
      <c r="Z32" s="186"/>
      <c r="AA32" s="187"/>
      <c r="AB32" s="187"/>
      <c r="AC32" s="188"/>
      <c r="AD32" s="1"/>
      <c r="AF32" s="165"/>
      <c r="AG32" s="263"/>
      <c r="AH32" s="263"/>
      <c r="AI32" s="263"/>
      <c r="AJ32" s="263"/>
      <c r="AK32" s="263"/>
      <c r="AL32" s="263"/>
      <c r="AM32" s="263"/>
      <c r="AN32" s="264"/>
    </row>
    <row r="33" spans="1:40" ht="45.95" customHeight="1" thickBot="1" x14ac:dyDescent="0.45">
      <c r="A33" s="42"/>
      <c r="B33" s="250" t="s">
        <v>32</v>
      </c>
      <c r="C33" s="319"/>
      <c r="D33" s="252" t="s">
        <v>9</v>
      </c>
      <c r="E33" s="254" t="s">
        <v>136</v>
      </c>
      <c r="F33" s="148"/>
      <c r="G33" s="140" t="b">
        <v>1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86"/>
      <c r="V33" s="187"/>
      <c r="W33" s="187"/>
      <c r="X33" s="188"/>
      <c r="Y33" s="1"/>
      <c r="Z33" s="186"/>
      <c r="AA33" s="187"/>
      <c r="AB33" s="187"/>
      <c r="AC33" s="188"/>
      <c r="AD33" s="1"/>
      <c r="AF33" s="43"/>
      <c r="AG33" s="44"/>
      <c r="AH33" s="44"/>
      <c r="AI33" s="44"/>
      <c r="AJ33" s="44"/>
      <c r="AK33" s="44"/>
      <c r="AL33" s="44"/>
      <c r="AM33" s="44"/>
      <c r="AN33" s="44"/>
    </row>
    <row r="34" spans="1:40" ht="45.95" customHeight="1" x14ac:dyDescent="0.4">
      <c r="B34" s="251"/>
      <c r="C34" s="319"/>
      <c r="D34" s="253"/>
      <c r="E34" s="255"/>
      <c r="F34" s="149"/>
      <c r="G34" s="14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89"/>
      <c r="V34" s="190"/>
      <c r="W34" s="190"/>
      <c r="X34" s="191"/>
      <c r="Y34" s="1"/>
      <c r="Z34" s="189"/>
      <c r="AA34" s="190"/>
      <c r="AB34" s="190"/>
      <c r="AC34" s="191"/>
      <c r="AD34" s="1"/>
      <c r="AF34" s="150" t="inlineStr">
        <is>
          <t xml:space="preserve">既存借入の元金据置延長に加え、経営環境変化対応資金等による追加運転資金及び
既存コロナ融資の返済負担軽減策を相談したい。
観光DX案件の開発・入金までの運転資金に充当する。</t>
        </is>
      </c>
      <c r="AG34" s="151"/>
      <c r="AH34" s="151"/>
      <c r="AI34" s="151"/>
      <c r="AJ34" s="151"/>
      <c r="AK34" s="151"/>
      <c r="AL34" s="151"/>
      <c r="AM34" s="151"/>
      <c r="AN34" s="152"/>
    </row>
    <row r="35" spans="1:40" ht="45.95" customHeight="1" thickBot="1" x14ac:dyDescent="0.45">
      <c r="B35" s="250" t="s">
        <v>33</v>
      </c>
      <c r="C35" s="319"/>
      <c r="D35" s="252" t="s">
        <v>0</v>
      </c>
      <c r="E35" s="254" t="s">
        <v>82</v>
      </c>
      <c r="F35" s="148"/>
      <c r="G35" s="140" t="b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5"/>
      <c r="V35" s="45"/>
      <c r="W35" s="45"/>
      <c r="X35" s="45"/>
      <c r="Y35" s="1"/>
      <c r="Z35" s="45"/>
      <c r="AA35" s="45"/>
      <c r="AB35" s="45"/>
      <c r="AC35" s="45"/>
      <c r="AD35" s="1"/>
      <c r="AF35" s="153"/>
      <c r="AG35" s="154"/>
      <c r="AH35" s="154"/>
      <c r="AI35" s="154"/>
      <c r="AJ35" s="154"/>
      <c r="AK35" s="154"/>
      <c r="AL35" s="154"/>
      <c r="AM35" s="154"/>
      <c r="AN35" s="155"/>
    </row>
    <row r="36" spans="1:40" ht="45.95" customHeight="1" thickBot="1" x14ac:dyDescent="0.45">
      <c r="B36" s="256"/>
      <c r="C36" s="320"/>
      <c r="D36" s="257"/>
      <c r="E36" s="258"/>
      <c r="F36" s="159"/>
      <c r="G36" s="14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49"/>
      <c r="AG36" s="249"/>
      <c r="AH36" s="249"/>
      <c r="AI36" s="249"/>
      <c r="AJ36" s="249"/>
      <c r="AK36" s="249"/>
      <c r="AL36" s="249"/>
      <c r="AM36" s="249"/>
      <c r="AN36" s="249"/>
    </row>
    <row r="37" spans="1:40" ht="56.1" customHeight="1" x14ac:dyDescent="0.3"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AF37" s="4"/>
      <c r="AG37" s="4"/>
      <c r="AH37" s="4"/>
      <c r="AI37" s="66" t="s">
        <v>46</v>
      </c>
      <c r="AJ37" s="139" t="inlineStr">
        <is>
          <t xml:space="preserve">株式会社ピカント</t>
        </is>
      </c>
      <c r="AK37" s="139"/>
      <c r="AL37" s="139"/>
      <c r="AM37" s="139"/>
      <c r="AN37" s="139"/>
    </row>
    <row r="44" spans="1:40" ht="27.75" x14ac:dyDescent="0.4">
      <c r="R44" ph="1"/>
      <c r="S44" ph="1"/>
    </row>
    <row r="46" spans="1:40" ht="27.75" x14ac:dyDescent="0.4">
      <c r="R46" ph="1"/>
      <c r="S46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F29:F32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G29:G32"/>
    <mergeCell ref="U29:X34"/>
    <mergeCell ref="Z29:AC34"/>
    <mergeCell ref="AF29:AF30"/>
    <mergeCell ref="G35:G36"/>
    <mergeCell ref="AF36:AN36"/>
    <mergeCell ref="AJ37:AN37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4C3E0-0DE0-4FF8-8427-BDF0A1601EE2}">
  <sheetPr codeName="Sheet12">
    <tabColor rgb="FFFF0066"/>
  </sheetPr>
  <dimension ref="A1:AN46"/>
  <sheetViews>
    <sheetView view="pageBreakPreview" zoomScale="40" zoomScaleNormal="100" zoomScaleSheetLayoutView="40" workbookViewId="0">
      <pane xSplit="18540" topLeftCell="T1"/>
      <selection activeCell="F13" sqref="F13"/>
      <selection pane="topRight" activeCell="F13" sqref="F13"/>
    </sheetView>
  </sheetViews>
  <sheetFormatPr defaultRowHeight="18.75" x14ac:dyDescent="0.4"/>
  <cols>
    <col min="1" max="1" width="6.625" customWidth="1"/>
    <col min="2" max="2" width="16.625" customWidth="1"/>
    <col min="3" max="3" width="18.625" customWidth="1"/>
    <col min="4" max="4" width="24.625" customWidth="1"/>
    <col min="5" max="5" width="100.625" customWidth="1"/>
    <col min="6" max="6" width="13.375" customWidth="1"/>
    <col min="7" max="7" width="12.625" hidden="1" customWidth="1"/>
    <col min="8" max="9" width="6.625" customWidth="1"/>
    <col min="10" max="10" width="18.625" customWidth="1"/>
    <col min="11" max="13" width="23.625" customWidth="1"/>
    <col min="14" max="14" width="8.625" customWidth="1"/>
    <col min="15" max="15" width="18.625" customWidth="1"/>
    <col min="16" max="18" width="21.625" customWidth="1"/>
    <col min="19" max="20" width="6.625" customWidth="1"/>
    <col min="21" max="24" width="21.625" customWidth="1"/>
    <col min="25" max="25" width="6.625" customWidth="1"/>
    <col min="26" max="29" width="21.625" customWidth="1"/>
    <col min="30" max="30" width="6.625" customWidth="1"/>
    <col min="31" max="31" width="8.125" customWidth="1"/>
    <col min="32" max="40" width="19.625" customWidth="1"/>
    <col min="41" max="41" width="8.125" customWidth="1"/>
  </cols>
  <sheetData>
    <row r="1" spans="2:40" x14ac:dyDescent="0.4"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40" x14ac:dyDescent="0.4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40" x14ac:dyDescent="0.4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40" x14ac:dyDescent="0.4"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40" x14ac:dyDescent="0.4"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40" x14ac:dyDescent="0.4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40" x14ac:dyDescent="0.4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40" ht="42" customHeight="1" x14ac:dyDescent="0.4"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40" ht="42" customHeight="1" x14ac:dyDescent="0.4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11" t="s">
        <v>47</v>
      </c>
      <c r="Y9" s="311"/>
      <c r="Z9" s="311"/>
      <c r="AA9" s="1"/>
      <c r="AB9" s="1"/>
      <c r="AC9" s="1"/>
      <c r="AD9" s="1"/>
      <c r="AI9" s="311" t="s">
        <v>48</v>
      </c>
      <c r="AJ9" s="312"/>
      <c r="AK9" s="312"/>
    </row>
    <row r="10" spans="2:40" ht="42" customHeight="1" x14ac:dyDescent="0.4"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311"/>
      <c r="Y10" s="311"/>
      <c r="Z10" s="311"/>
      <c r="AA10" s="1"/>
      <c r="AB10" s="1"/>
      <c r="AC10" s="1"/>
      <c r="AD10" s="1"/>
      <c r="AI10" s="312"/>
      <c r="AJ10" s="312"/>
      <c r="AK10" s="312"/>
    </row>
    <row r="11" spans="2:40" ht="42" customHeight="1" thickBot="1" x14ac:dyDescent="0.45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40" ht="39.950000000000003" customHeight="1" thickTop="1" thickBot="1" x14ac:dyDescent="0.45">
      <c r="B12" s="48"/>
      <c r="C12" s="49" t="s">
        <v>17</v>
      </c>
      <c r="D12" s="50" t="s">
        <v>7</v>
      </c>
      <c r="E12" s="65" t="s">
        <v>6</v>
      </c>
      <c r="F12" s="51" t="s">
        <v>16</v>
      </c>
      <c r="I12" s="1"/>
      <c r="J12" s="313" t="s">
        <v>15</v>
      </c>
      <c r="K12" s="314"/>
      <c r="L12" s="39" t="s">
        <v>35</v>
      </c>
      <c r="M12" s="41" t="s">
        <v>13</v>
      </c>
      <c r="N12" s="1"/>
      <c r="O12" s="315" t="s">
        <v>14</v>
      </c>
      <c r="P12" s="316"/>
      <c r="Q12" s="40" t="s">
        <v>35</v>
      </c>
      <c r="R12" s="38" t="s">
        <v>13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40" ht="92.1" customHeight="1" x14ac:dyDescent="0.4">
      <c r="B13" s="47" t="s">
        <v>18</v>
      </c>
      <c r="C13" s="339" t="s">
        <v>72</v>
      </c>
      <c r="D13" s="46" t="s">
        <v>2</v>
      </c>
      <c r="E13" s="52" t="s">
        <v>137</v>
      </c>
      <c r="F13" s="129"/>
      <c r="G13" s="128" t="b">
        <v>0</v>
      </c>
      <c r="I13" s="1"/>
      <c r="J13" s="17" t="s">
        <v>72</v>
      </c>
      <c r="K13" s="5" t="s">
        <v>12</v>
      </c>
      <c r="L13" s="28">
        <f>COUNTIF(G13:G16,TRUE)</f>
        <v>0</v>
      </c>
      <c r="M13" s="33">
        <f>COUNTIF(飲食業編!G13:G16,FALSE)*2</f>
        <v>8</v>
      </c>
      <c r="N13" s="2"/>
      <c r="O13" s="24" t="s">
        <v>42</v>
      </c>
      <c r="P13" s="9" t="s">
        <v>36</v>
      </c>
      <c r="Q13" s="36">
        <f>COUNTIFS(G13:G35,TRUE,D13:D35,"人材・組織")</f>
        <v>0</v>
      </c>
      <c r="R13" s="34">
        <f>COUNTIFS(飲食業編!G13:G35,FALSE,飲食業編!D13:D35,"人材・組織")*2</f>
        <v>8</v>
      </c>
      <c r="S13" s="1"/>
      <c r="T13" s="1"/>
      <c r="U13" s="306" t="s">
        <v>72</v>
      </c>
      <c r="V13" s="307"/>
      <c r="W13" s="307"/>
      <c r="X13" s="308"/>
      <c r="Y13" s="1"/>
      <c r="Z13" s="306" t="s">
        <v>5</v>
      </c>
      <c r="AA13" s="307"/>
      <c r="AB13" s="307"/>
      <c r="AC13" s="308"/>
      <c r="AD13" s="1"/>
      <c r="AF13" s="303" t="s">
        <v>43</v>
      </c>
      <c r="AG13" s="304"/>
      <c r="AH13" s="304"/>
      <c r="AI13" s="304"/>
      <c r="AJ13" s="304"/>
      <c r="AK13" s="304"/>
      <c r="AL13" s="304"/>
      <c r="AM13" s="304"/>
      <c r="AN13" s="305"/>
    </row>
    <row r="14" spans="2:40" ht="92.1" customHeight="1" x14ac:dyDescent="0.4">
      <c r="B14" s="11" t="s">
        <v>19</v>
      </c>
      <c r="C14" s="331"/>
      <c r="D14" s="21" t="s">
        <v>74</v>
      </c>
      <c r="E14" s="53" t="s">
        <v>93</v>
      </c>
      <c r="F14" s="130"/>
      <c r="G14" s="128" t="b">
        <v>0</v>
      </c>
      <c r="I14" s="1"/>
      <c r="J14" s="18" t="s">
        <v>5</v>
      </c>
      <c r="K14" s="6" t="s">
        <v>11</v>
      </c>
      <c r="L14" s="29">
        <f>COUNTIF(G17:G20,TRUE)</f>
        <v>0</v>
      </c>
      <c r="M14" s="34">
        <f>COUNTIF(飲食業編!G17:G20,FALSE)*2</f>
        <v>8</v>
      </c>
      <c r="N14" s="2"/>
      <c r="O14" s="24" t="s">
        <v>74</v>
      </c>
      <c r="P14" s="9" t="s">
        <v>37</v>
      </c>
      <c r="Q14" s="36">
        <f>COUNTIFS(G13:G35,TRUE,D13:D35,"設備・商品")</f>
        <v>0</v>
      </c>
      <c r="R14" s="34">
        <f>COUNTIFS(飲食業編!G13:G35,FALSE,飲食業編!D13:D35,"設備・商品")*2</f>
        <v>8</v>
      </c>
      <c r="S14" s="1"/>
      <c r="T14" s="1"/>
      <c r="U14" s="230"/>
      <c r="V14" s="231"/>
      <c r="W14" s="231"/>
      <c r="X14" s="232"/>
      <c r="Y14" s="1"/>
      <c r="Z14" s="230"/>
      <c r="AA14" s="231"/>
      <c r="AB14" s="231"/>
      <c r="AC14" s="232"/>
      <c r="AD14" s="1"/>
      <c r="AF14" s="243"/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11" t="s">
        <v>20</v>
      </c>
      <c r="C15" s="331"/>
      <c r="D15" s="21" t="s">
        <v>9</v>
      </c>
      <c r="E15" s="53" t="s">
        <v>65</v>
      </c>
      <c r="F15" s="130"/>
      <c r="G15" s="128" t="b">
        <v>0</v>
      </c>
      <c r="I15" s="1"/>
      <c r="J15" s="19" t="s">
        <v>100</v>
      </c>
      <c r="K15" s="7" t="s">
        <v>10</v>
      </c>
      <c r="L15" s="30">
        <f>COUNTIF(G21:G24,TRUE)</f>
        <v>0</v>
      </c>
      <c r="M15" s="34">
        <f>COUNTIF(飲食業編!G21:G24,FALSE)*2</f>
        <v>8</v>
      </c>
      <c r="N15" s="2"/>
      <c r="O15" s="25" t="s">
        <v>9</v>
      </c>
      <c r="P15" s="9" t="s">
        <v>38</v>
      </c>
      <c r="Q15" s="36">
        <f>COUNTIFS(G13:G35,TRUE,D13:D35,"資金")</f>
        <v>0</v>
      </c>
      <c r="R15" s="34">
        <f>COUNTIFS(飲食業編!G13:G35,FALSE,飲食業編!D13:D35,"資金")*2</f>
        <v>8</v>
      </c>
      <c r="S15" s="1"/>
      <c r="T15" s="1"/>
      <c r="U15" s="233"/>
      <c r="V15" s="234"/>
      <c r="W15" s="234"/>
      <c r="X15" s="235"/>
      <c r="Y15" s="1"/>
      <c r="Z15" s="233"/>
      <c r="AA15" s="234"/>
      <c r="AB15" s="234"/>
      <c r="AC15" s="235"/>
      <c r="AD15" s="1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2" t="s">
        <v>21</v>
      </c>
      <c r="C16" s="332"/>
      <c r="D16" s="22" t="s">
        <v>0</v>
      </c>
      <c r="E16" s="54" t="s">
        <v>138</v>
      </c>
      <c r="F16" s="131"/>
      <c r="G16" s="128" t="b">
        <v>0</v>
      </c>
      <c r="I16" s="1"/>
      <c r="J16" s="20" t="s">
        <v>3</v>
      </c>
      <c r="K16" s="8" t="s">
        <v>8</v>
      </c>
      <c r="L16" s="31">
        <f>COUNTIF(G25:G35,TRUE)</f>
        <v>0</v>
      </c>
      <c r="M16" s="35">
        <f>COUNTIF(飲食業編!G25:G35,FALSE)*2</f>
        <v>8</v>
      </c>
      <c r="N16" s="2"/>
      <c r="O16" s="26" t="s">
        <v>0</v>
      </c>
      <c r="P16" s="10" t="s">
        <v>39</v>
      </c>
      <c r="Q16" s="37">
        <f>COUNTIFS(G13:G35,TRUE,D13:D35,"情報")</f>
        <v>0</v>
      </c>
      <c r="R16" s="35">
        <f>COUNTIFS(飲食業編!G13:G35,FALSE,飲食業編!D13:D35,"情報")*2</f>
        <v>8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92.1" customHeight="1" thickTop="1" x14ac:dyDescent="0.4">
      <c r="B17" s="13" t="s">
        <v>22</v>
      </c>
      <c r="C17" s="330" t="s">
        <v>5</v>
      </c>
      <c r="D17" s="23" t="s">
        <v>2</v>
      </c>
      <c r="E17" s="55" t="s">
        <v>67</v>
      </c>
      <c r="F17" s="132"/>
      <c r="G17" s="128" t="b">
        <v>0</v>
      </c>
      <c r="I17" s="1"/>
      <c r="J17" s="1"/>
      <c r="K17" s="1"/>
      <c r="L17" s="1"/>
      <c r="M17" s="27"/>
      <c r="N17" s="1"/>
      <c r="O17" s="1"/>
      <c r="P17" s="1"/>
      <c r="Q17" s="1"/>
      <c r="R17" s="1"/>
      <c r="S17" s="1"/>
      <c r="T17" s="1"/>
      <c r="U17" s="306" t="s">
        <v>100</v>
      </c>
      <c r="V17" s="307"/>
      <c r="W17" s="307"/>
      <c r="X17" s="308"/>
      <c r="Y17" s="1"/>
      <c r="Z17" s="306" t="s">
        <v>3</v>
      </c>
      <c r="AA17" s="309"/>
      <c r="AB17" s="309"/>
      <c r="AC17" s="310"/>
      <c r="AD17" s="1"/>
      <c r="AF17" s="303" t="s">
        <v>44</v>
      </c>
      <c r="AG17" s="304"/>
      <c r="AH17" s="304"/>
      <c r="AI17" s="304"/>
      <c r="AJ17" s="304"/>
      <c r="AK17" s="304"/>
      <c r="AL17" s="304"/>
      <c r="AM17" s="304"/>
      <c r="AN17" s="305"/>
    </row>
    <row r="18" spans="1:40" ht="92.1" customHeight="1" x14ac:dyDescent="0.4">
      <c r="B18" s="14" t="s">
        <v>23</v>
      </c>
      <c r="C18" s="331"/>
      <c r="D18" s="21" t="s">
        <v>99</v>
      </c>
      <c r="E18" s="55" t="s">
        <v>139</v>
      </c>
      <c r="F18" s="133"/>
      <c r="G18" s="128" t="b"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30"/>
      <c r="V18" s="231"/>
      <c r="W18" s="231"/>
      <c r="X18" s="232"/>
      <c r="Y18" s="1"/>
      <c r="Z18" s="230"/>
      <c r="AA18" s="231"/>
      <c r="AB18" s="231"/>
      <c r="AC18" s="232"/>
      <c r="AD18" s="1"/>
      <c r="AF18" s="243"/>
      <c r="AG18" s="244"/>
      <c r="AH18" s="244"/>
      <c r="AI18" s="244"/>
      <c r="AJ18" s="244"/>
      <c r="AK18" s="244"/>
      <c r="AL18" s="244"/>
      <c r="AM18" s="244"/>
      <c r="AN18" s="245"/>
    </row>
    <row r="19" spans="1:40" ht="92.1" customHeight="1" x14ac:dyDescent="0.4">
      <c r="B19" s="14" t="s">
        <v>24</v>
      </c>
      <c r="C19" s="331"/>
      <c r="D19" s="21" t="s">
        <v>9</v>
      </c>
      <c r="E19" s="56" t="s">
        <v>94</v>
      </c>
      <c r="F19" s="133"/>
      <c r="G19" s="128" t="b"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33"/>
      <c r="V19" s="234"/>
      <c r="W19" s="234"/>
      <c r="X19" s="235"/>
      <c r="Y19" s="1"/>
      <c r="Z19" s="233"/>
      <c r="AA19" s="234"/>
      <c r="AB19" s="234"/>
      <c r="AC19" s="235"/>
      <c r="AD19" s="1"/>
      <c r="AF19" s="246"/>
      <c r="AG19" s="247"/>
      <c r="AH19" s="247"/>
      <c r="AI19" s="247"/>
      <c r="AJ19" s="247"/>
      <c r="AK19" s="247"/>
      <c r="AL19" s="247"/>
      <c r="AM19" s="247"/>
      <c r="AN19" s="248"/>
    </row>
    <row r="20" spans="1:40" ht="92.1" customHeight="1" thickBot="1" x14ac:dyDescent="0.45">
      <c r="B20" s="15" t="s">
        <v>25</v>
      </c>
      <c r="C20" s="332"/>
      <c r="D20" s="22" t="s">
        <v>0</v>
      </c>
      <c r="E20" s="57" t="s">
        <v>95</v>
      </c>
      <c r="F20" s="134"/>
      <c r="G20" s="128" t="b"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92.1" customHeight="1" x14ac:dyDescent="0.4">
      <c r="B21" s="16" t="s">
        <v>26</v>
      </c>
      <c r="C21" s="330" t="s">
        <v>100</v>
      </c>
      <c r="D21" s="23" t="s">
        <v>2</v>
      </c>
      <c r="E21" s="58" t="s">
        <v>140</v>
      </c>
      <c r="F21" s="135"/>
      <c r="G21" s="128" t="b">
        <v>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300" t="s">
        <v>42</v>
      </c>
      <c r="V21" s="301"/>
      <c r="W21" s="301"/>
      <c r="X21" s="302"/>
      <c r="Y21" s="3"/>
      <c r="Z21" s="300" t="s">
        <v>74</v>
      </c>
      <c r="AA21" s="301"/>
      <c r="AB21" s="301"/>
      <c r="AC21" s="302"/>
      <c r="AD21" s="1"/>
      <c r="AF21" s="303" t="s">
        <v>45</v>
      </c>
      <c r="AG21" s="304"/>
      <c r="AH21" s="304"/>
      <c r="AI21" s="304"/>
      <c r="AJ21" s="304"/>
      <c r="AK21" s="304"/>
      <c r="AL21" s="304"/>
      <c r="AM21" s="304"/>
      <c r="AN21" s="305"/>
    </row>
    <row r="22" spans="1:40" ht="92.1" customHeight="1" x14ac:dyDescent="0.4">
      <c r="B22" s="11" t="s">
        <v>27</v>
      </c>
      <c r="C22" s="331"/>
      <c r="D22" s="21" t="s">
        <v>99</v>
      </c>
      <c r="E22" s="53" t="s">
        <v>162</v>
      </c>
      <c r="F22" s="130"/>
      <c r="G22" s="128" t="b"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333"/>
      <c r="V22" s="334"/>
      <c r="W22" s="334"/>
      <c r="X22" s="335"/>
      <c r="Y22" s="3"/>
      <c r="Z22" s="213"/>
      <c r="AA22" s="214"/>
      <c r="AB22" s="214"/>
      <c r="AC22" s="215"/>
      <c r="AD22" s="1"/>
      <c r="AF22" s="243"/>
      <c r="AG22" s="244"/>
      <c r="AH22" s="244"/>
      <c r="AI22" s="244"/>
      <c r="AJ22" s="244"/>
      <c r="AK22" s="244"/>
      <c r="AL22" s="244"/>
      <c r="AM22" s="244"/>
      <c r="AN22" s="245"/>
    </row>
    <row r="23" spans="1:40" ht="92.1" customHeight="1" x14ac:dyDescent="0.4">
      <c r="B23" s="11" t="s">
        <v>28</v>
      </c>
      <c r="C23" s="331"/>
      <c r="D23" s="21" t="s">
        <v>9</v>
      </c>
      <c r="E23" s="53" t="s">
        <v>96</v>
      </c>
      <c r="F23" s="130"/>
      <c r="G23" s="128" t="b"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336"/>
      <c r="V23" s="337"/>
      <c r="W23" s="337"/>
      <c r="X23" s="338"/>
      <c r="Y23" s="3"/>
      <c r="Z23" s="216"/>
      <c r="AA23" s="217"/>
      <c r="AB23" s="217"/>
      <c r="AC23" s="218"/>
      <c r="AD23" s="1"/>
      <c r="AF23" s="246"/>
      <c r="AG23" s="247"/>
      <c r="AH23" s="247"/>
      <c r="AI23" s="247"/>
      <c r="AJ23" s="247"/>
      <c r="AK23" s="247"/>
      <c r="AL23" s="247"/>
      <c r="AM23" s="247"/>
      <c r="AN23" s="248"/>
    </row>
    <row r="24" spans="1:40" ht="92.1" customHeight="1" thickBot="1" x14ac:dyDescent="0.45">
      <c r="B24" s="12" t="s">
        <v>29</v>
      </c>
      <c r="C24" s="332"/>
      <c r="D24" s="22" t="s">
        <v>0</v>
      </c>
      <c r="E24" s="54" t="s">
        <v>97</v>
      </c>
      <c r="F24" s="131"/>
      <c r="G24" s="128" t="b"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3"/>
      <c r="V24" s="3"/>
      <c r="W24" s="3"/>
      <c r="X24" s="3"/>
      <c r="Y24" s="3"/>
      <c r="Z24" s="3"/>
      <c r="AA24" s="3"/>
      <c r="AB24" s="3"/>
      <c r="AC24" s="3"/>
      <c r="AD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23.1" customHeight="1" x14ac:dyDescent="0.4">
      <c r="A25" s="285"/>
      <c r="B25" s="289" t="s">
        <v>30</v>
      </c>
      <c r="C25" s="326" t="s">
        <v>3</v>
      </c>
      <c r="D25" s="329" t="s">
        <v>2</v>
      </c>
      <c r="E25" s="321" t="s">
        <v>79</v>
      </c>
      <c r="F25" s="192"/>
      <c r="G25" s="140" t="b"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265" t="s">
        <v>9</v>
      </c>
      <c r="V25" s="265"/>
      <c r="W25" s="265"/>
      <c r="X25" s="265"/>
      <c r="Y25" s="3"/>
      <c r="Z25" s="265" t="s">
        <v>0</v>
      </c>
      <c r="AA25" s="265"/>
      <c r="AB25" s="265"/>
      <c r="AC25" s="265"/>
      <c r="AD25" s="1"/>
      <c r="AF25" s="169"/>
      <c r="AG25" s="266" t="s">
        <v>160</v>
      </c>
      <c r="AH25" s="267"/>
      <c r="AI25" s="267"/>
      <c r="AJ25" s="267"/>
      <c r="AK25" s="267"/>
      <c r="AL25" s="267"/>
      <c r="AM25" s="267"/>
      <c r="AN25" s="268"/>
    </row>
    <row r="26" spans="1:40" ht="23.1" customHeight="1" x14ac:dyDescent="0.4">
      <c r="A26" s="285"/>
      <c r="B26" s="286"/>
      <c r="C26" s="327"/>
      <c r="D26" s="323"/>
      <c r="E26" s="288"/>
      <c r="F26" s="193"/>
      <c r="G26" s="14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265"/>
      <c r="V26" s="265"/>
      <c r="W26" s="265"/>
      <c r="X26" s="265"/>
      <c r="Y26" s="3"/>
      <c r="Z26" s="265"/>
      <c r="AA26" s="265"/>
      <c r="AB26" s="265"/>
      <c r="AC26" s="265"/>
      <c r="AD26" s="1"/>
      <c r="AF26" s="170"/>
      <c r="AG26" s="269"/>
      <c r="AH26" s="270"/>
      <c r="AI26" s="270"/>
      <c r="AJ26" s="270"/>
      <c r="AK26" s="270"/>
      <c r="AL26" s="270"/>
      <c r="AM26" s="270"/>
      <c r="AN26" s="271"/>
    </row>
    <row r="27" spans="1:40" ht="23.1" customHeight="1" x14ac:dyDescent="0.4">
      <c r="A27" s="285"/>
      <c r="B27" s="286"/>
      <c r="C27" s="327"/>
      <c r="D27" s="323"/>
      <c r="E27" s="288"/>
      <c r="F27" s="193"/>
      <c r="G27" s="14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65"/>
      <c r="V27" s="265"/>
      <c r="W27" s="265"/>
      <c r="X27" s="265"/>
      <c r="Y27" s="3"/>
      <c r="Z27" s="265"/>
      <c r="AA27" s="265"/>
      <c r="AB27" s="265"/>
      <c r="AC27" s="265"/>
      <c r="AD27" s="1"/>
      <c r="AF27" s="177"/>
      <c r="AG27" s="272" t="s">
        <v>51</v>
      </c>
      <c r="AH27" s="272"/>
      <c r="AI27" s="272"/>
      <c r="AJ27" s="272"/>
      <c r="AK27" s="272"/>
      <c r="AL27" s="272"/>
      <c r="AM27" s="272"/>
      <c r="AN27" s="273"/>
    </row>
    <row r="28" spans="1:40" ht="23.1" customHeight="1" x14ac:dyDescent="0.4">
      <c r="A28" s="285"/>
      <c r="B28" s="251"/>
      <c r="C28" s="327"/>
      <c r="D28" s="324"/>
      <c r="E28" s="255"/>
      <c r="F28" s="149"/>
      <c r="G28" s="14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65"/>
      <c r="V28" s="265"/>
      <c r="W28" s="265"/>
      <c r="X28" s="265"/>
      <c r="Y28" s="3"/>
      <c r="Z28" s="265"/>
      <c r="AA28" s="265"/>
      <c r="AB28" s="265"/>
      <c r="AC28" s="265"/>
      <c r="AD28" s="1"/>
      <c r="AF28" s="178"/>
      <c r="AG28" s="274"/>
      <c r="AH28" s="274"/>
      <c r="AI28" s="274"/>
      <c r="AJ28" s="274"/>
      <c r="AK28" s="274"/>
      <c r="AL28" s="274"/>
      <c r="AM28" s="274"/>
      <c r="AN28" s="275"/>
    </row>
    <row r="29" spans="1:40" ht="23.1" customHeight="1" x14ac:dyDescent="0.4">
      <c r="A29" s="285"/>
      <c r="B29" s="250" t="s">
        <v>31</v>
      </c>
      <c r="C29" s="327"/>
      <c r="D29" s="322" t="s">
        <v>99</v>
      </c>
      <c r="E29" s="254" t="s">
        <v>141</v>
      </c>
      <c r="F29" s="148"/>
      <c r="G29" s="140" t="b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83"/>
      <c r="V29" s="184"/>
      <c r="W29" s="184"/>
      <c r="X29" s="185"/>
      <c r="Y29" s="3"/>
      <c r="Z29" s="183"/>
      <c r="AA29" s="184"/>
      <c r="AB29" s="184"/>
      <c r="AC29" s="185"/>
      <c r="AD29" s="1"/>
      <c r="AF29" s="164"/>
      <c r="AG29" s="259" t="s">
        <v>49</v>
      </c>
      <c r="AH29" s="259"/>
      <c r="AI29" s="259"/>
      <c r="AJ29" s="259"/>
      <c r="AK29" s="259"/>
      <c r="AL29" s="259"/>
      <c r="AM29" s="259"/>
      <c r="AN29" s="260"/>
    </row>
    <row r="30" spans="1:40" ht="23.1" customHeight="1" x14ac:dyDescent="0.4">
      <c r="A30" s="285"/>
      <c r="B30" s="286"/>
      <c r="C30" s="327"/>
      <c r="D30" s="323"/>
      <c r="E30" s="288"/>
      <c r="F30" s="193"/>
      <c r="G30" s="14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86"/>
      <c r="V30" s="187"/>
      <c r="W30" s="187"/>
      <c r="X30" s="188"/>
      <c r="Y30" s="3"/>
      <c r="Z30" s="186"/>
      <c r="AA30" s="187"/>
      <c r="AB30" s="187"/>
      <c r="AC30" s="188"/>
      <c r="AD30" s="1"/>
      <c r="AF30" s="178"/>
      <c r="AG30" s="261"/>
      <c r="AH30" s="261"/>
      <c r="AI30" s="261"/>
      <c r="AJ30" s="261"/>
      <c r="AK30" s="261"/>
      <c r="AL30" s="261"/>
      <c r="AM30" s="261"/>
      <c r="AN30" s="262"/>
    </row>
    <row r="31" spans="1:40" ht="23.1" customHeight="1" x14ac:dyDescent="0.4">
      <c r="A31" s="285"/>
      <c r="B31" s="286"/>
      <c r="C31" s="327"/>
      <c r="D31" s="323"/>
      <c r="E31" s="288"/>
      <c r="F31" s="193"/>
      <c r="G31" s="14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86"/>
      <c r="V31" s="187"/>
      <c r="W31" s="187"/>
      <c r="X31" s="188"/>
      <c r="Y31" s="3"/>
      <c r="Z31" s="186"/>
      <c r="AA31" s="187"/>
      <c r="AB31" s="187"/>
      <c r="AC31" s="188"/>
      <c r="AD31" s="1"/>
      <c r="AF31" s="164"/>
      <c r="AG31" s="259" t="s">
        <v>50</v>
      </c>
      <c r="AH31" s="259"/>
      <c r="AI31" s="259"/>
      <c r="AJ31" s="259"/>
      <c r="AK31" s="259"/>
      <c r="AL31" s="259"/>
      <c r="AM31" s="259"/>
      <c r="AN31" s="260"/>
    </row>
    <row r="32" spans="1:40" ht="23.1" customHeight="1" thickBot="1" x14ac:dyDescent="0.45">
      <c r="A32" s="285"/>
      <c r="B32" s="251"/>
      <c r="C32" s="327"/>
      <c r="D32" s="324"/>
      <c r="E32" s="255"/>
      <c r="F32" s="149"/>
      <c r="G32" s="14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86"/>
      <c r="V32" s="187"/>
      <c r="W32" s="187"/>
      <c r="X32" s="188"/>
      <c r="Y32" s="1"/>
      <c r="Z32" s="186"/>
      <c r="AA32" s="187"/>
      <c r="AB32" s="187"/>
      <c r="AC32" s="188"/>
      <c r="AD32" s="1"/>
      <c r="AF32" s="165"/>
      <c r="AG32" s="263"/>
      <c r="AH32" s="263"/>
      <c r="AI32" s="263"/>
      <c r="AJ32" s="263"/>
      <c r="AK32" s="263"/>
      <c r="AL32" s="263"/>
      <c r="AM32" s="263"/>
      <c r="AN32" s="264"/>
    </row>
    <row r="33" spans="1:40" ht="45.95" customHeight="1" thickBot="1" x14ac:dyDescent="0.45">
      <c r="A33" s="42"/>
      <c r="B33" s="250" t="s">
        <v>32</v>
      </c>
      <c r="C33" s="327"/>
      <c r="D33" s="322" t="s">
        <v>9</v>
      </c>
      <c r="E33" s="254" t="s">
        <v>92</v>
      </c>
      <c r="F33" s="148"/>
      <c r="G33" s="140" t="b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86"/>
      <c r="V33" s="187"/>
      <c r="W33" s="187"/>
      <c r="X33" s="188"/>
      <c r="Y33" s="1"/>
      <c r="Z33" s="186"/>
      <c r="AA33" s="187"/>
      <c r="AB33" s="187"/>
      <c r="AC33" s="188"/>
      <c r="AD33" s="1"/>
      <c r="AF33" s="43"/>
      <c r="AG33" s="44"/>
      <c r="AH33" s="44"/>
      <c r="AI33" s="44"/>
      <c r="AJ33" s="44"/>
      <c r="AK33" s="44"/>
      <c r="AL33" s="44"/>
      <c r="AM33" s="44"/>
      <c r="AN33" s="44"/>
    </row>
    <row r="34" spans="1:40" ht="45.95" customHeight="1" x14ac:dyDescent="0.4">
      <c r="B34" s="251"/>
      <c r="C34" s="327"/>
      <c r="D34" s="324"/>
      <c r="E34" s="255"/>
      <c r="F34" s="149"/>
      <c r="G34" s="14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89"/>
      <c r="V34" s="190"/>
      <c r="W34" s="190"/>
      <c r="X34" s="191"/>
      <c r="Y34" s="1"/>
      <c r="Z34" s="189"/>
      <c r="AA34" s="190"/>
      <c r="AB34" s="190"/>
      <c r="AC34" s="191"/>
      <c r="AD34" s="1"/>
      <c r="AF34" s="150"/>
      <c r="AG34" s="151"/>
      <c r="AH34" s="151"/>
      <c r="AI34" s="151"/>
      <c r="AJ34" s="151"/>
      <c r="AK34" s="151"/>
      <c r="AL34" s="151"/>
      <c r="AM34" s="151"/>
      <c r="AN34" s="152"/>
    </row>
    <row r="35" spans="1:40" ht="45.95" customHeight="1" thickBot="1" x14ac:dyDescent="0.45">
      <c r="B35" s="250" t="s">
        <v>33</v>
      </c>
      <c r="C35" s="327"/>
      <c r="D35" s="322" t="s">
        <v>0</v>
      </c>
      <c r="E35" s="254" t="s">
        <v>98</v>
      </c>
      <c r="F35" s="148"/>
      <c r="G35" s="140" t="b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5"/>
      <c r="V35" s="45"/>
      <c r="W35" s="45"/>
      <c r="X35" s="45"/>
      <c r="Y35" s="1"/>
      <c r="Z35" s="45"/>
      <c r="AA35" s="45"/>
      <c r="AB35" s="45"/>
      <c r="AC35" s="45"/>
      <c r="AD35" s="1"/>
      <c r="AF35" s="153"/>
      <c r="AG35" s="154"/>
      <c r="AH35" s="154"/>
      <c r="AI35" s="154"/>
      <c r="AJ35" s="154"/>
      <c r="AK35" s="154"/>
      <c r="AL35" s="154"/>
      <c r="AM35" s="154"/>
      <c r="AN35" s="155"/>
    </row>
    <row r="36" spans="1:40" ht="45.95" customHeight="1" thickBot="1" x14ac:dyDescent="0.45">
      <c r="B36" s="256"/>
      <c r="C36" s="328"/>
      <c r="D36" s="325"/>
      <c r="E36" s="258"/>
      <c r="F36" s="159"/>
      <c r="G36" s="14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49"/>
      <c r="AG36" s="249"/>
      <c r="AH36" s="249"/>
      <c r="AI36" s="249"/>
      <c r="AJ36" s="249"/>
      <c r="AK36" s="249"/>
      <c r="AL36" s="249"/>
      <c r="AM36" s="249"/>
      <c r="AN36" s="249"/>
    </row>
    <row r="37" spans="1:40" ht="56.1" customHeight="1" x14ac:dyDescent="0.3"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AF37" s="4"/>
      <c r="AG37" s="4"/>
      <c r="AH37" s="4"/>
      <c r="AI37" s="66" t="s">
        <v>46</v>
      </c>
      <c r="AJ37" s="139"/>
      <c r="AK37" s="139"/>
      <c r="AL37" s="139"/>
      <c r="AM37" s="139"/>
      <c r="AN37" s="139"/>
    </row>
    <row r="44" spans="1:40" ht="27.75" x14ac:dyDescent="0.4">
      <c r="R44" ph="1"/>
      <c r="S44" ph="1"/>
    </row>
    <row r="46" spans="1:40" ht="27.75" x14ac:dyDescent="0.4">
      <c r="R46" ph="1"/>
      <c r="S46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F29:F32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G29:G32"/>
    <mergeCell ref="U29:X34"/>
    <mergeCell ref="Z29:AC34"/>
    <mergeCell ref="AF29:AF30"/>
    <mergeCell ref="G35:G36"/>
    <mergeCell ref="AF36:AN36"/>
    <mergeCell ref="AJ37:AN37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C337-7C4B-49ED-86F1-72F54F7D4C86}">
  <sheetPr codeName="Sheet13">
    <tabColor rgb="FF0099CC"/>
  </sheetPr>
  <dimension ref="A1:AN46"/>
  <sheetViews>
    <sheetView view="pageBreakPreview" zoomScale="40" zoomScaleNormal="100" zoomScaleSheetLayoutView="40" workbookViewId="0">
      <pane xSplit="18540" topLeftCell="T1"/>
      <selection activeCell="F13" sqref="F13"/>
      <selection pane="topRight" activeCell="F13" sqref="F13"/>
    </sheetView>
  </sheetViews>
  <sheetFormatPr defaultRowHeight="18.75" x14ac:dyDescent="0.4"/>
  <cols>
    <col min="1" max="1" width="6.625" customWidth="1"/>
    <col min="2" max="2" width="16.625" customWidth="1"/>
    <col min="3" max="3" width="18.625" customWidth="1"/>
    <col min="4" max="4" width="24.625" customWidth="1"/>
    <col min="5" max="5" width="100.625" customWidth="1"/>
    <col min="6" max="6" width="13.375" customWidth="1"/>
    <col min="7" max="7" width="12.625" hidden="1" customWidth="1"/>
    <col min="8" max="9" width="6.625" customWidth="1"/>
    <col min="10" max="10" width="18.625" customWidth="1"/>
    <col min="11" max="13" width="23.625" customWidth="1"/>
    <col min="14" max="14" width="8.625" customWidth="1"/>
    <col min="15" max="15" width="18.625" customWidth="1"/>
    <col min="16" max="18" width="21.625" customWidth="1"/>
    <col min="19" max="20" width="6.625" customWidth="1"/>
    <col min="21" max="24" width="21.625" customWidth="1"/>
    <col min="25" max="25" width="6.625" customWidth="1"/>
    <col min="26" max="29" width="21.625" customWidth="1"/>
    <col min="30" max="30" width="6.625" customWidth="1"/>
    <col min="31" max="31" width="8.125" customWidth="1"/>
    <col min="32" max="40" width="19.625" customWidth="1"/>
    <col min="41" max="41" width="8.125" customWidth="1"/>
  </cols>
  <sheetData>
    <row r="1" spans="2:40" x14ac:dyDescent="0.4"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40" x14ac:dyDescent="0.4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40" x14ac:dyDescent="0.4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40" x14ac:dyDescent="0.4"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40" x14ac:dyDescent="0.4"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40" x14ac:dyDescent="0.4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40" x14ac:dyDescent="0.4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40" ht="42" customHeight="1" x14ac:dyDescent="0.4"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40" ht="42" customHeight="1" x14ac:dyDescent="0.4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11" t="s">
        <v>47</v>
      </c>
      <c r="Y9" s="311"/>
      <c r="Z9" s="311"/>
      <c r="AA9" s="1"/>
      <c r="AB9" s="1"/>
      <c r="AC9" s="1"/>
      <c r="AD9" s="1"/>
      <c r="AI9" s="311" t="s">
        <v>48</v>
      </c>
      <c r="AJ9" s="312"/>
      <c r="AK9" s="312"/>
    </row>
    <row r="10" spans="2:40" ht="42" customHeight="1" x14ac:dyDescent="0.4"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311"/>
      <c r="Y10" s="311"/>
      <c r="Z10" s="311"/>
      <c r="AA10" s="1"/>
      <c r="AB10" s="1"/>
      <c r="AC10" s="1"/>
      <c r="AD10" s="1"/>
      <c r="AI10" s="312"/>
      <c r="AJ10" s="312"/>
      <c r="AK10" s="312"/>
    </row>
    <row r="11" spans="2:40" ht="42" customHeight="1" thickBot="1" x14ac:dyDescent="0.45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40" ht="39.950000000000003" customHeight="1" thickTop="1" thickBot="1" x14ac:dyDescent="0.45">
      <c r="B12" s="48"/>
      <c r="C12" s="59" t="s">
        <v>17</v>
      </c>
      <c r="D12" s="60" t="s">
        <v>7</v>
      </c>
      <c r="E12" s="65" t="s">
        <v>6</v>
      </c>
      <c r="F12" s="51" t="s">
        <v>16</v>
      </c>
      <c r="I12" s="1"/>
      <c r="J12" s="313" t="s">
        <v>15</v>
      </c>
      <c r="K12" s="314"/>
      <c r="L12" s="39" t="s">
        <v>35</v>
      </c>
      <c r="M12" s="41" t="s">
        <v>13</v>
      </c>
      <c r="N12" s="1"/>
      <c r="O12" s="315" t="s">
        <v>14</v>
      </c>
      <c r="P12" s="316"/>
      <c r="Q12" s="40" t="s">
        <v>35</v>
      </c>
      <c r="R12" s="38" t="s">
        <v>13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40" ht="92.1" customHeight="1" x14ac:dyDescent="0.4">
      <c r="B13" s="47" t="s">
        <v>18</v>
      </c>
      <c r="C13" s="317" t="s">
        <v>5</v>
      </c>
      <c r="D13" s="61" t="s">
        <v>2</v>
      </c>
      <c r="E13" s="52" t="s">
        <v>52</v>
      </c>
      <c r="F13" s="129"/>
      <c r="G13" s="128" t="b">
        <v>0</v>
      </c>
      <c r="I13" s="1"/>
      <c r="J13" s="17" t="s">
        <v>5</v>
      </c>
      <c r="K13" s="5" t="s">
        <v>12</v>
      </c>
      <c r="L13" s="28">
        <f>COUNTIF(G13:G16,TRUE)</f>
        <v>0</v>
      </c>
      <c r="M13" s="32">
        <f>COUNTIF(建設業編!G13:G16,FALSE)*2</f>
        <v>8</v>
      </c>
      <c r="N13" s="2"/>
      <c r="O13" s="24" t="s">
        <v>42</v>
      </c>
      <c r="P13" s="9" t="s">
        <v>36</v>
      </c>
      <c r="Q13" s="36">
        <f>COUNTIFS(G13:G35,TRUE,D13:D35,"人材・組織")</f>
        <v>0</v>
      </c>
      <c r="R13" s="34">
        <f>COUNTIFS(建設業編!G13:G35,FALSE,建設業編!D13:D35,"人材・組織")*2</f>
        <v>8</v>
      </c>
      <c r="S13" s="1"/>
      <c r="T13" s="1"/>
      <c r="U13" s="306" t="s">
        <v>5</v>
      </c>
      <c r="V13" s="307"/>
      <c r="W13" s="307"/>
      <c r="X13" s="308"/>
      <c r="Y13" s="1"/>
      <c r="Z13" s="306" t="s">
        <v>105</v>
      </c>
      <c r="AA13" s="307"/>
      <c r="AB13" s="307"/>
      <c r="AC13" s="308"/>
      <c r="AD13" s="1"/>
      <c r="AF13" s="303" t="s">
        <v>43</v>
      </c>
      <c r="AG13" s="304"/>
      <c r="AH13" s="304"/>
      <c r="AI13" s="304"/>
      <c r="AJ13" s="304"/>
      <c r="AK13" s="304"/>
      <c r="AL13" s="304"/>
      <c r="AM13" s="304"/>
      <c r="AN13" s="305"/>
    </row>
    <row r="14" spans="2:40" ht="92.1" customHeight="1" x14ac:dyDescent="0.4">
      <c r="B14" s="11" t="s">
        <v>19</v>
      </c>
      <c r="C14" s="298"/>
      <c r="D14" s="62" t="s">
        <v>107</v>
      </c>
      <c r="E14" s="53" t="s">
        <v>142</v>
      </c>
      <c r="F14" s="130"/>
      <c r="G14" s="128" t="b">
        <v>0</v>
      </c>
      <c r="I14" s="1"/>
      <c r="J14" s="18" t="s">
        <v>105</v>
      </c>
      <c r="K14" s="6" t="s">
        <v>11</v>
      </c>
      <c r="L14" s="29">
        <f>COUNTIF(G17:G20,TRUE)</f>
        <v>0</v>
      </c>
      <c r="M14" s="33">
        <f>COUNTIF(建設業編!G17:G20,FALSE)*2</f>
        <v>8</v>
      </c>
      <c r="N14" s="2"/>
      <c r="O14" s="24" t="s">
        <v>1</v>
      </c>
      <c r="P14" s="9" t="s">
        <v>37</v>
      </c>
      <c r="Q14" s="36">
        <f>COUNTIFS(G13:G35,TRUE,D13:D35,"設備・製品")</f>
        <v>0</v>
      </c>
      <c r="R14" s="34">
        <f>COUNTIFS(建設業編!G13:G35,FALSE,建設業編!D13:D35,"設備・製品")*2</f>
        <v>8</v>
      </c>
      <c r="S14" s="1"/>
      <c r="T14" s="1"/>
      <c r="U14" s="230"/>
      <c r="V14" s="231"/>
      <c r="W14" s="231"/>
      <c r="X14" s="232"/>
      <c r="Y14" s="1"/>
      <c r="Z14" s="230"/>
      <c r="AA14" s="231"/>
      <c r="AB14" s="231"/>
      <c r="AC14" s="232"/>
      <c r="AD14" s="1"/>
      <c r="AF14" s="243"/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11" t="s">
        <v>20</v>
      </c>
      <c r="C15" s="298"/>
      <c r="D15" s="62" t="s">
        <v>9</v>
      </c>
      <c r="E15" s="53" t="s">
        <v>56</v>
      </c>
      <c r="F15" s="130"/>
      <c r="G15" s="128" t="b">
        <v>0</v>
      </c>
      <c r="I15" s="1"/>
      <c r="J15" s="19" t="s">
        <v>106</v>
      </c>
      <c r="K15" s="7" t="s">
        <v>10</v>
      </c>
      <c r="L15" s="30">
        <f>COUNTIF(G21:G24,TRUE)</f>
        <v>0</v>
      </c>
      <c r="M15" s="34">
        <f>COUNTIF(建設業編!G21:G24,FALSE)*2</f>
        <v>8</v>
      </c>
      <c r="N15" s="2"/>
      <c r="O15" s="25" t="s">
        <v>9</v>
      </c>
      <c r="P15" s="9" t="s">
        <v>38</v>
      </c>
      <c r="Q15" s="36">
        <f>COUNTIFS(G13:G35,TRUE,D13:D35,"資金")</f>
        <v>0</v>
      </c>
      <c r="R15" s="34">
        <f>COUNTIFS(建設業編!G13:G35,FALSE,建設業編!D13:D35,"資金")*2</f>
        <v>8</v>
      </c>
      <c r="S15" s="1"/>
      <c r="T15" s="1"/>
      <c r="U15" s="233"/>
      <c r="V15" s="234"/>
      <c r="W15" s="234"/>
      <c r="X15" s="235"/>
      <c r="Y15" s="1"/>
      <c r="Z15" s="233"/>
      <c r="AA15" s="234"/>
      <c r="AB15" s="234"/>
      <c r="AC15" s="235"/>
      <c r="AD15" s="1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2" t="s">
        <v>21</v>
      </c>
      <c r="C16" s="299"/>
      <c r="D16" s="63" t="s">
        <v>0</v>
      </c>
      <c r="E16" s="54" t="s">
        <v>101</v>
      </c>
      <c r="F16" s="131"/>
      <c r="G16" s="128" t="b">
        <v>0</v>
      </c>
      <c r="I16" s="1"/>
      <c r="J16" s="20" t="s">
        <v>40</v>
      </c>
      <c r="K16" s="8" t="s">
        <v>8</v>
      </c>
      <c r="L16" s="31">
        <f>COUNTIF(G25:G35,TRUE)</f>
        <v>0</v>
      </c>
      <c r="M16" s="35">
        <f>COUNTIF(建設業編!G25:G35,FALSE)*2</f>
        <v>8</v>
      </c>
      <c r="N16" s="2"/>
      <c r="O16" s="26" t="s">
        <v>0</v>
      </c>
      <c r="P16" s="10" t="s">
        <v>39</v>
      </c>
      <c r="Q16" s="37">
        <f>COUNTIFS(G13:G35,TRUE,D13:D35,"情報")</f>
        <v>0</v>
      </c>
      <c r="R16" s="35">
        <f>COUNTIFS(建設業編!G13:G35,FALSE,建設業編!D13:D35,"情報")*2</f>
        <v>8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92.1" customHeight="1" thickTop="1" x14ac:dyDescent="0.4">
      <c r="B17" s="13" t="s">
        <v>22</v>
      </c>
      <c r="C17" s="297" t="s">
        <v>105</v>
      </c>
      <c r="D17" s="64" t="s">
        <v>2</v>
      </c>
      <c r="E17" s="55" t="s">
        <v>102</v>
      </c>
      <c r="F17" s="132"/>
      <c r="G17" s="128" t="b">
        <v>0</v>
      </c>
      <c r="I17" s="1"/>
      <c r="J17" s="1"/>
      <c r="K17" s="1"/>
      <c r="L17" s="1"/>
      <c r="M17" s="27"/>
      <c r="N17" s="1"/>
      <c r="O17" s="1"/>
      <c r="P17" s="1"/>
      <c r="Q17" s="1"/>
      <c r="R17" s="1"/>
      <c r="S17" s="1"/>
      <c r="T17" s="1"/>
      <c r="U17" s="306" t="s">
        <v>106</v>
      </c>
      <c r="V17" s="307"/>
      <c r="W17" s="307"/>
      <c r="X17" s="308"/>
      <c r="Y17" s="1"/>
      <c r="Z17" s="306" t="s">
        <v>41</v>
      </c>
      <c r="AA17" s="309"/>
      <c r="AB17" s="309"/>
      <c r="AC17" s="310"/>
      <c r="AD17" s="1"/>
      <c r="AF17" s="303" t="s">
        <v>44</v>
      </c>
      <c r="AG17" s="304"/>
      <c r="AH17" s="304"/>
      <c r="AI17" s="304"/>
      <c r="AJ17" s="304"/>
      <c r="AK17" s="304"/>
      <c r="AL17" s="304"/>
      <c r="AM17" s="304"/>
      <c r="AN17" s="305"/>
    </row>
    <row r="18" spans="1:40" ht="92.1" customHeight="1" x14ac:dyDescent="0.4">
      <c r="B18" s="14" t="s">
        <v>23</v>
      </c>
      <c r="C18" s="298"/>
      <c r="D18" s="62" t="s">
        <v>107</v>
      </c>
      <c r="E18" s="55" t="s">
        <v>103</v>
      </c>
      <c r="F18" s="133"/>
      <c r="G18" s="128" t="b"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30"/>
      <c r="V18" s="231"/>
      <c r="W18" s="231"/>
      <c r="X18" s="232"/>
      <c r="Y18" s="1"/>
      <c r="Z18" s="230"/>
      <c r="AA18" s="231"/>
      <c r="AB18" s="231"/>
      <c r="AC18" s="232"/>
      <c r="AD18" s="1"/>
      <c r="AF18" s="243"/>
      <c r="AG18" s="244"/>
      <c r="AH18" s="244"/>
      <c r="AI18" s="244"/>
      <c r="AJ18" s="244"/>
      <c r="AK18" s="244"/>
      <c r="AL18" s="244"/>
      <c r="AM18" s="244"/>
      <c r="AN18" s="245"/>
    </row>
    <row r="19" spans="1:40" ht="92.1" customHeight="1" x14ac:dyDescent="0.4">
      <c r="B19" s="14" t="s">
        <v>24</v>
      </c>
      <c r="C19" s="298"/>
      <c r="D19" s="62" t="s">
        <v>9</v>
      </c>
      <c r="E19" s="56" t="s">
        <v>104</v>
      </c>
      <c r="F19" s="133"/>
      <c r="G19" s="128" t="b"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33"/>
      <c r="V19" s="234"/>
      <c r="W19" s="234"/>
      <c r="X19" s="235"/>
      <c r="Y19" s="1"/>
      <c r="Z19" s="233"/>
      <c r="AA19" s="234"/>
      <c r="AB19" s="234"/>
      <c r="AC19" s="235"/>
      <c r="AD19" s="1"/>
      <c r="AF19" s="246"/>
      <c r="AG19" s="247"/>
      <c r="AH19" s="247"/>
      <c r="AI19" s="247"/>
      <c r="AJ19" s="247"/>
      <c r="AK19" s="247"/>
      <c r="AL19" s="247"/>
      <c r="AM19" s="247"/>
      <c r="AN19" s="248"/>
    </row>
    <row r="20" spans="1:40" ht="92.1" customHeight="1" thickBot="1" x14ac:dyDescent="0.45">
      <c r="B20" s="15" t="s">
        <v>25</v>
      </c>
      <c r="C20" s="299"/>
      <c r="D20" s="63" t="s">
        <v>0</v>
      </c>
      <c r="E20" s="57" t="s">
        <v>87</v>
      </c>
      <c r="F20" s="134"/>
      <c r="G20" s="128" t="b"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92.1" customHeight="1" x14ac:dyDescent="0.4">
      <c r="B21" s="16" t="s">
        <v>26</v>
      </c>
      <c r="C21" s="297" t="s">
        <v>106</v>
      </c>
      <c r="D21" s="64" t="s">
        <v>2</v>
      </c>
      <c r="E21" s="58" t="s">
        <v>143</v>
      </c>
      <c r="F21" s="135"/>
      <c r="G21" s="128" t="b">
        <v>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300" t="s">
        <v>42</v>
      </c>
      <c r="V21" s="301"/>
      <c r="W21" s="301"/>
      <c r="X21" s="302"/>
      <c r="Y21" s="3"/>
      <c r="Z21" s="300" t="s">
        <v>1</v>
      </c>
      <c r="AA21" s="301"/>
      <c r="AB21" s="301"/>
      <c r="AC21" s="302"/>
      <c r="AD21" s="1"/>
      <c r="AF21" s="303" t="s">
        <v>45</v>
      </c>
      <c r="AG21" s="304"/>
      <c r="AH21" s="304"/>
      <c r="AI21" s="304"/>
      <c r="AJ21" s="304"/>
      <c r="AK21" s="304"/>
      <c r="AL21" s="304"/>
      <c r="AM21" s="304"/>
      <c r="AN21" s="305"/>
    </row>
    <row r="22" spans="1:40" ht="92.1" customHeight="1" x14ac:dyDescent="0.4">
      <c r="B22" s="11" t="s">
        <v>27</v>
      </c>
      <c r="C22" s="298"/>
      <c r="D22" s="62" t="s">
        <v>107</v>
      </c>
      <c r="E22" s="53" t="s">
        <v>144</v>
      </c>
      <c r="F22" s="130"/>
      <c r="G22" s="128" t="b"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213"/>
      <c r="V22" s="214"/>
      <c r="W22" s="214"/>
      <c r="X22" s="215"/>
      <c r="Y22" s="3"/>
      <c r="Z22" s="213"/>
      <c r="AA22" s="214"/>
      <c r="AB22" s="214"/>
      <c r="AC22" s="215"/>
      <c r="AD22" s="1"/>
      <c r="AF22" s="243"/>
      <c r="AG22" s="244"/>
      <c r="AH22" s="244"/>
      <c r="AI22" s="244"/>
      <c r="AJ22" s="244"/>
      <c r="AK22" s="244"/>
      <c r="AL22" s="244"/>
      <c r="AM22" s="244"/>
      <c r="AN22" s="245"/>
    </row>
    <row r="23" spans="1:40" ht="92.1" customHeight="1" x14ac:dyDescent="0.4">
      <c r="B23" s="11" t="s">
        <v>28</v>
      </c>
      <c r="C23" s="298"/>
      <c r="D23" s="62" t="s">
        <v>9</v>
      </c>
      <c r="E23" s="53" t="s">
        <v>145</v>
      </c>
      <c r="F23" s="130"/>
      <c r="G23" s="128" t="b"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216"/>
      <c r="V23" s="217"/>
      <c r="W23" s="217"/>
      <c r="X23" s="218"/>
      <c r="Y23" s="3"/>
      <c r="Z23" s="216"/>
      <c r="AA23" s="217"/>
      <c r="AB23" s="217"/>
      <c r="AC23" s="218"/>
      <c r="AD23" s="1"/>
      <c r="AF23" s="246"/>
      <c r="AG23" s="247"/>
      <c r="AH23" s="247"/>
      <c r="AI23" s="247"/>
      <c r="AJ23" s="247"/>
      <c r="AK23" s="247"/>
      <c r="AL23" s="247"/>
      <c r="AM23" s="247"/>
      <c r="AN23" s="248"/>
    </row>
    <row r="24" spans="1:40" ht="92.1" customHeight="1" thickBot="1" x14ac:dyDescent="0.45">
      <c r="B24" s="12" t="s">
        <v>29</v>
      </c>
      <c r="C24" s="299"/>
      <c r="D24" s="63" t="s">
        <v>0</v>
      </c>
      <c r="E24" s="54" t="s">
        <v>146</v>
      </c>
      <c r="F24" s="131"/>
      <c r="G24" s="128" t="b"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3"/>
      <c r="V24" s="3"/>
      <c r="W24" s="3"/>
      <c r="X24" s="3"/>
      <c r="Y24" s="3"/>
      <c r="Z24" s="3"/>
      <c r="AA24" s="3"/>
      <c r="AB24" s="3"/>
      <c r="AC24" s="3"/>
      <c r="AD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23.1" customHeight="1" x14ac:dyDescent="0.4">
      <c r="A25" s="285"/>
      <c r="B25" s="289" t="s">
        <v>30</v>
      </c>
      <c r="C25" s="318" t="s">
        <v>41</v>
      </c>
      <c r="D25" s="293" t="s">
        <v>2</v>
      </c>
      <c r="E25" s="321" t="s">
        <v>147</v>
      </c>
      <c r="F25" s="192"/>
      <c r="G25" s="140" t="b"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265" t="s">
        <v>9</v>
      </c>
      <c r="V25" s="265"/>
      <c r="W25" s="265"/>
      <c r="X25" s="265"/>
      <c r="Y25" s="3"/>
      <c r="Z25" s="265" t="s">
        <v>0</v>
      </c>
      <c r="AA25" s="265"/>
      <c r="AB25" s="265"/>
      <c r="AC25" s="265"/>
      <c r="AD25" s="1"/>
      <c r="AF25" s="169"/>
      <c r="AG25" s="266" t="s">
        <v>160</v>
      </c>
      <c r="AH25" s="267"/>
      <c r="AI25" s="267"/>
      <c r="AJ25" s="267"/>
      <c r="AK25" s="267"/>
      <c r="AL25" s="267"/>
      <c r="AM25" s="267"/>
      <c r="AN25" s="268"/>
    </row>
    <row r="26" spans="1:40" ht="23.1" customHeight="1" x14ac:dyDescent="0.4">
      <c r="A26" s="285"/>
      <c r="B26" s="286"/>
      <c r="C26" s="319"/>
      <c r="D26" s="287"/>
      <c r="E26" s="288"/>
      <c r="F26" s="193"/>
      <c r="G26" s="14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265"/>
      <c r="V26" s="265"/>
      <c r="W26" s="265"/>
      <c r="X26" s="265"/>
      <c r="Y26" s="3"/>
      <c r="Z26" s="265"/>
      <c r="AA26" s="265"/>
      <c r="AB26" s="265"/>
      <c r="AC26" s="265"/>
      <c r="AD26" s="1"/>
      <c r="AF26" s="170"/>
      <c r="AG26" s="269"/>
      <c r="AH26" s="270"/>
      <c r="AI26" s="270"/>
      <c r="AJ26" s="270"/>
      <c r="AK26" s="270"/>
      <c r="AL26" s="270"/>
      <c r="AM26" s="270"/>
      <c r="AN26" s="271"/>
    </row>
    <row r="27" spans="1:40" ht="23.1" customHeight="1" x14ac:dyDescent="0.4">
      <c r="A27" s="285"/>
      <c r="B27" s="286"/>
      <c r="C27" s="319"/>
      <c r="D27" s="287"/>
      <c r="E27" s="288"/>
      <c r="F27" s="193"/>
      <c r="G27" s="14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65"/>
      <c r="V27" s="265"/>
      <c r="W27" s="265"/>
      <c r="X27" s="265"/>
      <c r="Y27" s="3"/>
      <c r="Z27" s="265"/>
      <c r="AA27" s="265"/>
      <c r="AB27" s="265"/>
      <c r="AC27" s="265"/>
      <c r="AD27" s="1"/>
      <c r="AF27" s="177"/>
      <c r="AG27" s="272" t="s">
        <v>51</v>
      </c>
      <c r="AH27" s="272"/>
      <c r="AI27" s="272"/>
      <c r="AJ27" s="272"/>
      <c r="AK27" s="272"/>
      <c r="AL27" s="272"/>
      <c r="AM27" s="272"/>
      <c r="AN27" s="273"/>
    </row>
    <row r="28" spans="1:40" ht="23.1" customHeight="1" x14ac:dyDescent="0.4">
      <c r="A28" s="285"/>
      <c r="B28" s="251"/>
      <c r="C28" s="319"/>
      <c r="D28" s="253"/>
      <c r="E28" s="255"/>
      <c r="F28" s="149"/>
      <c r="G28" s="14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65"/>
      <c r="V28" s="265"/>
      <c r="W28" s="265"/>
      <c r="X28" s="265"/>
      <c r="Y28" s="3"/>
      <c r="Z28" s="265"/>
      <c r="AA28" s="265"/>
      <c r="AB28" s="265"/>
      <c r="AC28" s="265"/>
      <c r="AD28" s="1"/>
      <c r="AF28" s="178"/>
      <c r="AG28" s="274"/>
      <c r="AH28" s="274"/>
      <c r="AI28" s="274"/>
      <c r="AJ28" s="274"/>
      <c r="AK28" s="274"/>
      <c r="AL28" s="274"/>
      <c r="AM28" s="274"/>
      <c r="AN28" s="275"/>
    </row>
    <row r="29" spans="1:40" ht="23.1" customHeight="1" x14ac:dyDescent="0.4">
      <c r="A29" s="285"/>
      <c r="B29" s="250" t="s">
        <v>31</v>
      </c>
      <c r="C29" s="319"/>
      <c r="D29" s="252" t="s">
        <v>107</v>
      </c>
      <c r="E29" s="254" t="s">
        <v>61</v>
      </c>
      <c r="F29" s="148"/>
      <c r="G29" s="140" t="b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83"/>
      <c r="V29" s="184"/>
      <c r="W29" s="184"/>
      <c r="X29" s="185"/>
      <c r="Y29" s="3"/>
      <c r="Z29" s="183"/>
      <c r="AA29" s="184"/>
      <c r="AB29" s="184"/>
      <c r="AC29" s="185"/>
      <c r="AD29" s="1"/>
      <c r="AF29" s="164"/>
      <c r="AG29" s="259" t="s">
        <v>49</v>
      </c>
      <c r="AH29" s="259"/>
      <c r="AI29" s="259"/>
      <c r="AJ29" s="259"/>
      <c r="AK29" s="259"/>
      <c r="AL29" s="259"/>
      <c r="AM29" s="259"/>
      <c r="AN29" s="260"/>
    </row>
    <row r="30" spans="1:40" ht="23.1" customHeight="1" x14ac:dyDescent="0.4">
      <c r="A30" s="285"/>
      <c r="B30" s="286"/>
      <c r="C30" s="319"/>
      <c r="D30" s="287"/>
      <c r="E30" s="288"/>
      <c r="F30" s="193"/>
      <c r="G30" s="14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86"/>
      <c r="V30" s="187"/>
      <c r="W30" s="187"/>
      <c r="X30" s="188"/>
      <c r="Y30" s="3"/>
      <c r="Z30" s="186"/>
      <c r="AA30" s="187"/>
      <c r="AB30" s="187"/>
      <c r="AC30" s="188"/>
      <c r="AD30" s="1"/>
      <c r="AF30" s="178"/>
      <c r="AG30" s="261"/>
      <c r="AH30" s="261"/>
      <c r="AI30" s="261"/>
      <c r="AJ30" s="261"/>
      <c r="AK30" s="261"/>
      <c r="AL30" s="261"/>
      <c r="AM30" s="261"/>
      <c r="AN30" s="262"/>
    </row>
    <row r="31" spans="1:40" ht="23.1" customHeight="1" x14ac:dyDescent="0.4">
      <c r="A31" s="285"/>
      <c r="B31" s="286"/>
      <c r="C31" s="319"/>
      <c r="D31" s="287"/>
      <c r="E31" s="288"/>
      <c r="F31" s="193"/>
      <c r="G31" s="14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86"/>
      <c r="V31" s="187"/>
      <c r="W31" s="187"/>
      <c r="X31" s="188"/>
      <c r="Y31" s="3"/>
      <c r="Z31" s="186"/>
      <c r="AA31" s="187"/>
      <c r="AB31" s="187"/>
      <c r="AC31" s="188"/>
      <c r="AD31" s="1"/>
      <c r="AF31" s="164"/>
      <c r="AG31" s="259" t="s">
        <v>50</v>
      </c>
      <c r="AH31" s="259"/>
      <c r="AI31" s="259"/>
      <c r="AJ31" s="259"/>
      <c r="AK31" s="259"/>
      <c r="AL31" s="259"/>
      <c r="AM31" s="259"/>
      <c r="AN31" s="260"/>
    </row>
    <row r="32" spans="1:40" ht="23.1" customHeight="1" thickBot="1" x14ac:dyDescent="0.45">
      <c r="A32" s="285"/>
      <c r="B32" s="251"/>
      <c r="C32" s="319"/>
      <c r="D32" s="253"/>
      <c r="E32" s="255"/>
      <c r="F32" s="149"/>
      <c r="G32" s="14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86"/>
      <c r="V32" s="187"/>
      <c r="W32" s="187"/>
      <c r="X32" s="188"/>
      <c r="Y32" s="1"/>
      <c r="Z32" s="186"/>
      <c r="AA32" s="187"/>
      <c r="AB32" s="187"/>
      <c r="AC32" s="188"/>
      <c r="AD32" s="1"/>
      <c r="AF32" s="165"/>
      <c r="AG32" s="263"/>
      <c r="AH32" s="263"/>
      <c r="AI32" s="263"/>
      <c r="AJ32" s="263"/>
      <c r="AK32" s="263"/>
      <c r="AL32" s="263"/>
      <c r="AM32" s="263"/>
      <c r="AN32" s="264"/>
    </row>
    <row r="33" spans="1:40" ht="45.95" customHeight="1" thickBot="1" x14ac:dyDescent="0.45">
      <c r="A33" s="42"/>
      <c r="B33" s="250" t="s">
        <v>32</v>
      </c>
      <c r="C33" s="319"/>
      <c r="D33" s="252" t="s">
        <v>9</v>
      </c>
      <c r="E33" s="254" t="s">
        <v>148</v>
      </c>
      <c r="F33" s="148"/>
      <c r="G33" s="140" t="b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86"/>
      <c r="V33" s="187"/>
      <c r="W33" s="187"/>
      <c r="X33" s="188"/>
      <c r="Y33" s="1"/>
      <c r="Z33" s="186"/>
      <c r="AA33" s="187"/>
      <c r="AB33" s="187"/>
      <c r="AC33" s="188"/>
      <c r="AD33" s="1"/>
      <c r="AF33" s="43"/>
      <c r="AG33" s="44"/>
      <c r="AH33" s="44"/>
      <c r="AI33" s="44"/>
      <c r="AJ33" s="44"/>
      <c r="AK33" s="44"/>
      <c r="AL33" s="44"/>
      <c r="AM33" s="44"/>
      <c r="AN33" s="44"/>
    </row>
    <row r="34" spans="1:40" ht="45.95" customHeight="1" x14ac:dyDescent="0.4">
      <c r="B34" s="251"/>
      <c r="C34" s="319"/>
      <c r="D34" s="253"/>
      <c r="E34" s="255"/>
      <c r="F34" s="149"/>
      <c r="G34" s="14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89"/>
      <c r="V34" s="190"/>
      <c r="W34" s="190"/>
      <c r="X34" s="191"/>
      <c r="Y34" s="1"/>
      <c r="Z34" s="189"/>
      <c r="AA34" s="190"/>
      <c r="AB34" s="190"/>
      <c r="AC34" s="191"/>
      <c r="AD34" s="1"/>
      <c r="AF34" s="340"/>
      <c r="AG34" s="341"/>
      <c r="AH34" s="341"/>
      <c r="AI34" s="341"/>
      <c r="AJ34" s="341"/>
      <c r="AK34" s="341"/>
      <c r="AL34" s="341"/>
      <c r="AM34" s="341"/>
      <c r="AN34" s="342"/>
    </row>
    <row r="35" spans="1:40" ht="45.95" customHeight="1" thickBot="1" x14ac:dyDescent="0.45">
      <c r="B35" s="250" t="s">
        <v>33</v>
      </c>
      <c r="C35" s="319"/>
      <c r="D35" s="252" t="s">
        <v>0</v>
      </c>
      <c r="E35" s="254" t="s">
        <v>149</v>
      </c>
      <c r="F35" s="148"/>
      <c r="G35" s="140" t="b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5"/>
      <c r="V35" s="45"/>
      <c r="W35" s="45"/>
      <c r="X35" s="45"/>
      <c r="Y35" s="1"/>
      <c r="Z35" s="45"/>
      <c r="AA35" s="45"/>
      <c r="AB35" s="45"/>
      <c r="AC35" s="45"/>
      <c r="AD35" s="1"/>
      <c r="AF35" s="343"/>
      <c r="AG35" s="344"/>
      <c r="AH35" s="344"/>
      <c r="AI35" s="344"/>
      <c r="AJ35" s="344"/>
      <c r="AK35" s="344"/>
      <c r="AL35" s="344"/>
      <c r="AM35" s="344"/>
      <c r="AN35" s="345"/>
    </row>
    <row r="36" spans="1:40" ht="45.95" customHeight="1" thickBot="1" x14ac:dyDescent="0.45">
      <c r="B36" s="256"/>
      <c r="C36" s="320"/>
      <c r="D36" s="257"/>
      <c r="E36" s="258"/>
      <c r="F36" s="159"/>
      <c r="G36" s="14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49"/>
      <c r="AG36" s="249"/>
      <c r="AH36" s="249"/>
      <c r="AI36" s="249"/>
      <c r="AJ36" s="249"/>
      <c r="AK36" s="249"/>
      <c r="AL36" s="249"/>
      <c r="AM36" s="249"/>
      <c r="AN36" s="249"/>
    </row>
    <row r="37" spans="1:40" ht="56.1" customHeight="1" x14ac:dyDescent="0.3"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AF37" s="4"/>
      <c r="AG37" s="4"/>
      <c r="AH37" s="4"/>
      <c r="AI37" s="66" t="s">
        <v>46</v>
      </c>
      <c r="AJ37" s="139"/>
      <c r="AK37" s="139"/>
      <c r="AL37" s="139"/>
      <c r="AM37" s="139"/>
      <c r="AN37" s="139"/>
    </row>
    <row r="44" spans="1:40" ht="27.75" x14ac:dyDescent="0.4">
      <c r="R44" ph="1"/>
      <c r="S44" ph="1"/>
    </row>
    <row r="46" spans="1:40" ht="27.75" x14ac:dyDescent="0.4">
      <c r="R46" ph="1"/>
      <c r="S46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F29:F32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G29:G32"/>
    <mergeCell ref="U29:X34"/>
    <mergeCell ref="Z29:AC34"/>
    <mergeCell ref="AF29:AF30"/>
    <mergeCell ref="G35:G36"/>
    <mergeCell ref="AF36:AN36"/>
    <mergeCell ref="AJ37:AN37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F272C-5196-49EA-8ACD-DE2B64BF96F8}">
  <sheetPr codeName="Sheet14">
    <tabColor rgb="FFCCCC00"/>
  </sheetPr>
  <dimension ref="A1:AN46"/>
  <sheetViews>
    <sheetView view="pageBreakPreview" zoomScale="40" zoomScaleNormal="100" zoomScaleSheetLayoutView="40" workbookViewId="0">
      <pane xSplit="18540" topLeftCell="T1" activePane="topRight"/>
      <selection activeCell="F13" sqref="F13"/>
      <selection pane="topRight" activeCell="U22" sqref="U22:X23"/>
    </sheetView>
  </sheetViews>
  <sheetFormatPr defaultRowHeight="18.75" x14ac:dyDescent="0.4"/>
  <cols>
    <col min="1" max="1" width="6.625" customWidth="1"/>
    <col min="2" max="2" width="16.625" customWidth="1"/>
    <col min="3" max="3" width="18.625" customWidth="1"/>
    <col min="4" max="4" width="24.625" customWidth="1"/>
    <col min="5" max="5" width="100.625" customWidth="1"/>
    <col min="6" max="6" width="13.375" customWidth="1"/>
    <col min="7" max="7" width="12.625" hidden="1" customWidth="1"/>
    <col min="8" max="9" width="6.625" customWidth="1"/>
    <col min="10" max="10" width="18.625" customWidth="1"/>
    <col min="11" max="13" width="23.625" customWidth="1"/>
    <col min="14" max="14" width="8.625" customWidth="1"/>
    <col min="15" max="15" width="18.625" customWidth="1"/>
    <col min="16" max="18" width="21.625" customWidth="1"/>
    <col min="19" max="20" width="6.625" customWidth="1"/>
    <col min="21" max="24" width="21.625" customWidth="1"/>
    <col min="25" max="25" width="6.625" customWidth="1"/>
    <col min="26" max="29" width="21.625" customWidth="1"/>
    <col min="30" max="30" width="6.625" customWidth="1"/>
    <col min="31" max="31" width="8.125" customWidth="1"/>
    <col min="32" max="40" width="19.625" customWidth="1"/>
    <col min="41" max="41" width="8.125" customWidth="1"/>
  </cols>
  <sheetData>
    <row r="1" spans="2:40" x14ac:dyDescent="0.4"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40" x14ac:dyDescent="0.4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40" x14ac:dyDescent="0.4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40" x14ac:dyDescent="0.4"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40" x14ac:dyDescent="0.4"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40" x14ac:dyDescent="0.4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40" x14ac:dyDescent="0.4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40" ht="42" customHeight="1" x14ac:dyDescent="0.4"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40" ht="42" customHeight="1" x14ac:dyDescent="0.4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11" t="s">
        <v>47</v>
      </c>
      <c r="Y9" s="311"/>
      <c r="Z9" s="311"/>
      <c r="AA9" s="1"/>
      <c r="AB9" s="1"/>
      <c r="AC9" s="1"/>
      <c r="AD9" s="1"/>
      <c r="AI9" s="311" t="s">
        <v>48</v>
      </c>
      <c r="AJ9" s="312"/>
      <c r="AK9" s="312"/>
    </row>
    <row r="10" spans="2:40" ht="42" customHeight="1" x14ac:dyDescent="0.4"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311"/>
      <c r="Y10" s="311"/>
      <c r="Z10" s="311"/>
      <c r="AA10" s="1"/>
      <c r="AB10" s="1"/>
      <c r="AC10" s="1"/>
      <c r="AD10" s="1"/>
      <c r="AI10" s="312"/>
      <c r="AJ10" s="312"/>
      <c r="AK10" s="312"/>
    </row>
    <row r="11" spans="2:40" ht="42" customHeight="1" thickBot="1" x14ac:dyDescent="0.45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40" ht="39.950000000000003" customHeight="1" thickTop="1" thickBot="1" x14ac:dyDescent="0.45">
      <c r="B12" s="48"/>
      <c r="C12" s="59" t="s">
        <v>17</v>
      </c>
      <c r="D12" s="60" t="s">
        <v>7</v>
      </c>
      <c r="E12" s="65" t="s">
        <v>6</v>
      </c>
      <c r="F12" s="51" t="s">
        <v>16</v>
      </c>
      <c r="I12" s="1"/>
      <c r="J12" s="313" t="s">
        <v>15</v>
      </c>
      <c r="K12" s="314"/>
      <c r="L12" s="39" t="s">
        <v>35</v>
      </c>
      <c r="M12" s="41" t="s">
        <v>13</v>
      </c>
      <c r="N12" s="1"/>
      <c r="O12" s="315" t="s">
        <v>14</v>
      </c>
      <c r="P12" s="316"/>
      <c r="Q12" s="40" t="s">
        <v>35</v>
      </c>
      <c r="R12" s="38" t="s">
        <v>13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40" ht="92.1" customHeight="1" x14ac:dyDescent="0.4">
      <c r="B13" s="47" t="s">
        <v>18</v>
      </c>
      <c r="C13" s="317" t="s">
        <v>72</v>
      </c>
      <c r="D13" s="61" t="s">
        <v>2</v>
      </c>
      <c r="E13" s="52" t="s">
        <v>150</v>
      </c>
      <c r="F13" s="129"/>
      <c r="G13" s="128" t="b">
        <v>0</v>
      </c>
      <c r="I13" s="1"/>
      <c r="J13" s="17" t="s">
        <v>72</v>
      </c>
      <c r="K13" s="5" t="s">
        <v>12</v>
      </c>
      <c r="L13" s="28">
        <f>COUNTIF(G13:G16,TRUE)</f>
        <v>0</v>
      </c>
      <c r="M13" s="32">
        <f>COUNTIF(宿泊業編!G13:G16,FALSE)*2</f>
        <v>8</v>
      </c>
      <c r="N13" s="2"/>
      <c r="O13" s="24" t="s">
        <v>42</v>
      </c>
      <c r="P13" s="9" t="s">
        <v>36</v>
      </c>
      <c r="Q13" s="36">
        <f>COUNTIFS(G13:G35,TRUE,D13:D35,"人材・組織")</f>
        <v>0</v>
      </c>
      <c r="R13" s="34">
        <f>COUNTIFS(宿泊業編!G13:G35,FALSE,宿泊業編!D13:D35,"人材・組織")*2</f>
        <v>8</v>
      </c>
      <c r="S13" s="1"/>
      <c r="T13" s="1"/>
      <c r="U13" s="306" t="s">
        <v>72</v>
      </c>
      <c r="V13" s="307"/>
      <c r="W13" s="307"/>
      <c r="X13" s="308"/>
      <c r="Y13" s="1"/>
      <c r="Z13" s="306" t="s">
        <v>88</v>
      </c>
      <c r="AA13" s="307"/>
      <c r="AB13" s="307"/>
      <c r="AC13" s="308"/>
      <c r="AD13" s="1"/>
      <c r="AF13" s="303" t="s">
        <v>43</v>
      </c>
      <c r="AG13" s="304"/>
      <c r="AH13" s="304"/>
      <c r="AI13" s="304"/>
      <c r="AJ13" s="304"/>
      <c r="AK13" s="304"/>
      <c r="AL13" s="304"/>
      <c r="AM13" s="304"/>
      <c r="AN13" s="305"/>
    </row>
    <row r="14" spans="2:40" ht="92.1" customHeight="1" x14ac:dyDescent="0.4">
      <c r="B14" s="11" t="s">
        <v>19</v>
      </c>
      <c r="C14" s="298"/>
      <c r="D14" s="21" t="s">
        <v>89</v>
      </c>
      <c r="E14" s="53" t="s">
        <v>83</v>
      </c>
      <c r="F14" s="130"/>
      <c r="G14" s="128" t="b">
        <v>0</v>
      </c>
      <c r="I14" s="1"/>
      <c r="J14" s="18" t="s">
        <v>88</v>
      </c>
      <c r="K14" s="6" t="s">
        <v>11</v>
      </c>
      <c r="L14" s="29">
        <f>COUNTIF(G17:G20,TRUE)</f>
        <v>0</v>
      </c>
      <c r="M14" s="33">
        <f>COUNTIF(宿泊業編!G17:G20,FALSE)*2</f>
        <v>8</v>
      </c>
      <c r="N14" s="2"/>
      <c r="O14" s="24" t="s">
        <v>90</v>
      </c>
      <c r="P14" s="9" t="s">
        <v>37</v>
      </c>
      <c r="Q14" s="36">
        <f>COUNTIFS(G13:G35,TRUE,D13:D35,"設備・サービス")</f>
        <v>0</v>
      </c>
      <c r="R14" s="34">
        <f>COUNTIFS(宿泊業編!G13:G35,FALSE,宿泊業編!D13:D35,"設備・サービス")*2</f>
        <v>8</v>
      </c>
      <c r="S14" s="1"/>
      <c r="T14" s="1"/>
      <c r="U14" s="230"/>
      <c r="V14" s="231"/>
      <c r="W14" s="231"/>
      <c r="X14" s="232"/>
      <c r="Y14" s="1"/>
      <c r="Z14" s="230"/>
      <c r="AA14" s="231"/>
      <c r="AB14" s="231"/>
      <c r="AC14" s="232"/>
      <c r="AD14" s="1"/>
      <c r="AF14" s="243"/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11" t="s">
        <v>20</v>
      </c>
      <c r="C15" s="298"/>
      <c r="D15" s="62" t="s">
        <v>9</v>
      </c>
      <c r="E15" s="53" t="s">
        <v>151</v>
      </c>
      <c r="F15" s="130"/>
      <c r="G15" s="128" t="b">
        <v>0</v>
      </c>
      <c r="I15" s="1"/>
      <c r="J15" s="19" t="s">
        <v>91</v>
      </c>
      <c r="K15" s="7" t="s">
        <v>10</v>
      </c>
      <c r="L15" s="30">
        <f>COUNTIF(G21:G24,TRUE)</f>
        <v>0</v>
      </c>
      <c r="M15" s="34">
        <f>COUNTIF(宿泊業編!G21:G24,FALSE)*2</f>
        <v>8</v>
      </c>
      <c r="N15" s="2"/>
      <c r="O15" s="25" t="s">
        <v>9</v>
      </c>
      <c r="P15" s="9" t="s">
        <v>38</v>
      </c>
      <c r="Q15" s="36">
        <f>COUNTIFS(G13:G35,TRUE,D13:D35,"資金")</f>
        <v>0</v>
      </c>
      <c r="R15" s="34">
        <f>COUNTIFS(宿泊業編!G13:G35,FALSE,宿泊業編!D13:D35,"資金")*2</f>
        <v>8</v>
      </c>
      <c r="S15" s="1"/>
      <c r="T15" s="1"/>
      <c r="U15" s="233"/>
      <c r="V15" s="234"/>
      <c r="W15" s="234"/>
      <c r="X15" s="235"/>
      <c r="Y15" s="1"/>
      <c r="Z15" s="233"/>
      <c r="AA15" s="234"/>
      <c r="AB15" s="234"/>
      <c r="AC15" s="235"/>
      <c r="AD15" s="1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2" t="s">
        <v>21</v>
      </c>
      <c r="C16" s="299"/>
      <c r="D16" s="63" t="s">
        <v>0</v>
      </c>
      <c r="E16" s="54" t="s">
        <v>152</v>
      </c>
      <c r="F16" s="131"/>
      <c r="G16" s="128" t="b">
        <v>0</v>
      </c>
      <c r="I16" s="1"/>
      <c r="J16" s="20" t="s">
        <v>40</v>
      </c>
      <c r="K16" s="8" t="s">
        <v>8</v>
      </c>
      <c r="L16" s="31">
        <f>COUNTIF(G25:G35,TRUE)</f>
        <v>0</v>
      </c>
      <c r="M16" s="35">
        <f>COUNTIF(宿泊業編!G25:G35,FALSE)*2</f>
        <v>8</v>
      </c>
      <c r="N16" s="2"/>
      <c r="O16" s="26" t="s">
        <v>0</v>
      </c>
      <c r="P16" s="10" t="s">
        <v>39</v>
      </c>
      <c r="Q16" s="37">
        <f>COUNTIFS(G13:G35,TRUE,D13:D35,"情報")</f>
        <v>0</v>
      </c>
      <c r="R16" s="35">
        <f>COUNTIFS(宿泊業編!G13:G35,FALSE,宿泊業編!D13:D35,"情報")*2</f>
        <v>8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92.1" customHeight="1" thickTop="1" x14ac:dyDescent="0.4">
      <c r="B17" s="13" t="s">
        <v>22</v>
      </c>
      <c r="C17" s="297" t="s">
        <v>88</v>
      </c>
      <c r="D17" s="64" t="s">
        <v>2</v>
      </c>
      <c r="E17" s="55" t="s">
        <v>108</v>
      </c>
      <c r="F17" s="132"/>
      <c r="G17" s="128" t="b">
        <v>0</v>
      </c>
      <c r="I17" s="1"/>
      <c r="J17" s="1"/>
      <c r="K17" s="1"/>
      <c r="L17" s="1"/>
      <c r="M17" s="27"/>
      <c r="N17" s="1"/>
      <c r="O17" s="1"/>
      <c r="P17" s="1"/>
      <c r="Q17" s="1"/>
      <c r="R17" s="1"/>
      <c r="S17" s="1"/>
      <c r="T17" s="1"/>
      <c r="U17" s="306" t="s">
        <v>91</v>
      </c>
      <c r="V17" s="307"/>
      <c r="W17" s="307"/>
      <c r="X17" s="308"/>
      <c r="Y17" s="1"/>
      <c r="Z17" s="306" t="s">
        <v>41</v>
      </c>
      <c r="AA17" s="309"/>
      <c r="AB17" s="309"/>
      <c r="AC17" s="310"/>
      <c r="AD17" s="1"/>
      <c r="AF17" s="303" t="s">
        <v>44</v>
      </c>
      <c r="AG17" s="304"/>
      <c r="AH17" s="304"/>
      <c r="AI17" s="304"/>
      <c r="AJ17" s="304"/>
      <c r="AK17" s="304"/>
      <c r="AL17" s="304"/>
      <c r="AM17" s="304"/>
      <c r="AN17" s="305"/>
    </row>
    <row r="18" spans="1:40" ht="92.1" customHeight="1" x14ac:dyDescent="0.4">
      <c r="B18" s="14" t="s">
        <v>23</v>
      </c>
      <c r="C18" s="298"/>
      <c r="D18" s="21" t="s">
        <v>89</v>
      </c>
      <c r="E18" s="55" t="s">
        <v>109</v>
      </c>
      <c r="F18" s="133"/>
      <c r="G18" s="128" t="b"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30"/>
      <c r="V18" s="231"/>
      <c r="W18" s="231"/>
      <c r="X18" s="232"/>
      <c r="Y18" s="1"/>
      <c r="Z18" s="230"/>
      <c r="AA18" s="231"/>
      <c r="AB18" s="231"/>
      <c r="AC18" s="232"/>
      <c r="AD18" s="1"/>
      <c r="AF18" s="243"/>
      <c r="AG18" s="244"/>
      <c r="AH18" s="244"/>
      <c r="AI18" s="244"/>
      <c r="AJ18" s="244"/>
      <c r="AK18" s="244"/>
      <c r="AL18" s="244"/>
      <c r="AM18" s="244"/>
      <c r="AN18" s="245"/>
    </row>
    <row r="19" spans="1:40" ht="92.1" customHeight="1" x14ac:dyDescent="0.4">
      <c r="B19" s="14" t="s">
        <v>24</v>
      </c>
      <c r="C19" s="298"/>
      <c r="D19" s="62" t="s">
        <v>9</v>
      </c>
      <c r="E19" s="56" t="s">
        <v>110</v>
      </c>
      <c r="F19" s="133"/>
      <c r="G19" s="128" t="b"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33"/>
      <c r="V19" s="234"/>
      <c r="W19" s="234"/>
      <c r="X19" s="235"/>
      <c r="Y19" s="1"/>
      <c r="Z19" s="233"/>
      <c r="AA19" s="234"/>
      <c r="AB19" s="234"/>
      <c r="AC19" s="235"/>
      <c r="AD19" s="1"/>
      <c r="AF19" s="246"/>
      <c r="AG19" s="247"/>
      <c r="AH19" s="247"/>
      <c r="AI19" s="247"/>
      <c r="AJ19" s="247"/>
      <c r="AK19" s="247"/>
      <c r="AL19" s="247"/>
      <c r="AM19" s="247"/>
      <c r="AN19" s="248"/>
    </row>
    <row r="20" spans="1:40" ht="92.1" customHeight="1" thickBot="1" x14ac:dyDescent="0.45">
      <c r="B20" s="15" t="s">
        <v>25</v>
      </c>
      <c r="C20" s="299"/>
      <c r="D20" s="63" t="s">
        <v>0</v>
      </c>
      <c r="E20" s="57" t="s">
        <v>86</v>
      </c>
      <c r="F20" s="134"/>
      <c r="G20" s="128" t="b"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92.1" customHeight="1" x14ac:dyDescent="0.4">
      <c r="B21" s="16" t="s">
        <v>26</v>
      </c>
      <c r="C21" s="297" t="s">
        <v>91</v>
      </c>
      <c r="D21" s="64" t="s">
        <v>2</v>
      </c>
      <c r="E21" s="58" t="s">
        <v>79</v>
      </c>
      <c r="F21" s="135"/>
      <c r="G21" s="128" t="b">
        <v>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300" t="s">
        <v>42</v>
      </c>
      <c r="V21" s="301"/>
      <c r="W21" s="301"/>
      <c r="X21" s="302"/>
      <c r="Y21" s="3"/>
      <c r="Z21" s="300" t="s">
        <v>89</v>
      </c>
      <c r="AA21" s="301"/>
      <c r="AB21" s="301"/>
      <c r="AC21" s="302"/>
      <c r="AD21" s="1"/>
      <c r="AF21" s="303" t="s">
        <v>45</v>
      </c>
      <c r="AG21" s="304"/>
      <c r="AH21" s="304"/>
      <c r="AI21" s="304"/>
      <c r="AJ21" s="304"/>
      <c r="AK21" s="304"/>
      <c r="AL21" s="304"/>
      <c r="AM21" s="304"/>
      <c r="AN21" s="305"/>
    </row>
    <row r="22" spans="1:40" ht="92.1" customHeight="1" x14ac:dyDescent="0.4">
      <c r="B22" s="11" t="s">
        <v>27</v>
      </c>
      <c r="C22" s="298"/>
      <c r="D22" s="21" t="s">
        <v>89</v>
      </c>
      <c r="E22" s="53" t="s">
        <v>153</v>
      </c>
      <c r="F22" s="130"/>
      <c r="G22" s="128" t="b"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213"/>
      <c r="V22" s="214"/>
      <c r="W22" s="214"/>
      <c r="X22" s="215"/>
      <c r="Y22" s="3"/>
      <c r="Z22" s="213"/>
      <c r="AA22" s="214"/>
      <c r="AB22" s="214"/>
      <c r="AC22" s="215"/>
      <c r="AD22" s="1"/>
      <c r="AF22" s="243"/>
      <c r="AG22" s="244"/>
      <c r="AH22" s="244"/>
      <c r="AI22" s="244"/>
      <c r="AJ22" s="244"/>
      <c r="AK22" s="244"/>
      <c r="AL22" s="244"/>
      <c r="AM22" s="244"/>
      <c r="AN22" s="245"/>
    </row>
    <row r="23" spans="1:40" ht="92.1" customHeight="1" x14ac:dyDescent="0.4">
      <c r="B23" s="11" t="s">
        <v>28</v>
      </c>
      <c r="C23" s="298"/>
      <c r="D23" s="62" t="s">
        <v>9</v>
      </c>
      <c r="E23" s="53" t="s">
        <v>154</v>
      </c>
      <c r="F23" s="130"/>
      <c r="G23" s="128" t="b"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216"/>
      <c r="V23" s="217"/>
      <c r="W23" s="217"/>
      <c r="X23" s="218"/>
      <c r="Y23" s="3"/>
      <c r="Z23" s="216"/>
      <c r="AA23" s="217"/>
      <c r="AB23" s="217"/>
      <c r="AC23" s="218"/>
      <c r="AD23" s="1"/>
      <c r="AF23" s="246"/>
      <c r="AG23" s="247"/>
      <c r="AH23" s="247"/>
      <c r="AI23" s="247"/>
      <c r="AJ23" s="247"/>
      <c r="AK23" s="247"/>
      <c r="AL23" s="247"/>
      <c r="AM23" s="247"/>
      <c r="AN23" s="248"/>
    </row>
    <row r="24" spans="1:40" ht="92.1" customHeight="1" thickBot="1" x14ac:dyDescent="0.45">
      <c r="B24" s="12" t="s">
        <v>29</v>
      </c>
      <c r="C24" s="299"/>
      <c r="D24" s="63" t="s">
        <v>0</v>
      </c>
      <c r="E24" s="54" t="s">
        <v>155</v>
      </c>
      <c r="F24" s="131"/>
      <c r="G24" s="128" t="b"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3"/>
      <c r="V24" s="3"/>
      <c r="W24" s="3"/>
      <c r="X24" s="3"/>
      <c r="Y24" s="3"/>
      <c r="Z24" s="3"/>
      <c r="AA24" s="3"/>
      <c r="AB24" s="3"/>
      <c r="AC24" s="3"/>
      <c r="AD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23.1" customHeight="1" x14ac:dyDescent="0.4">
      <c r="A25" s="285"/>
      <c r="B25" s="289" t="s">
        <v>30</v>
      </c>
      <c r="C25" s="318" t="s">
        <v>41</v>
      </c>
      <c r="D25" s="293" t="s">
        <v>2</v>
      </c>
      <c r="E25" s="321" t="s">
        <v>156</v>
      </c>
      <c r="F25" s="192"/>
      <c r="G25" s="140" t="b"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265" t="s">
        <v>9</v>
      </c>
      <c r="V25" s="265"/>
      <c r="W25" s="265"/>
      <c r="X25" s="265"/>
      <c r="Y25" s="3"/>
      <c r="Z25" s="265" t="s">
        <v>0</v>
      </c>
      <c r="AA25" s="265"/>
      <c r="AB25" s="265"/>
      <c r="AC25" s="265"/>
      <c r="AD25" s="1"/>
      <c r="AF25" s="169"/>
      <c r="AG25" s="266" t="s">
        <v>160</v>
      </c>
      <c r="AH25" s="267"/>
      <c r="AI25" s="267"/>
      <c r="AJ25" s="267"/>
      <c r="AK25" s="267"/>
      <c r="AL25" s="267"/>
      <c r="AM25" s="267"/>
      <c r="AN25" s="268"/>
    </row>
    <row r="26" spans="1:40" ht="23.1" customHeight="1" x14ac:dyDescent="0.4">
      <c r="A26" s="285"/>
      <c r="B26" s="286"/>
      <c r="C26" s="319"/>
      <c r="D26" s="287"/>
      <c r="E26" s="288"/>
      <c r="F26" s="193"/>
      <c r="G26" s="14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265"/>
      <c r="V26" s="265"/>
      <c r="W26" s="265"/>
      <c r="X26" s="265"/>
      <c r="Y26" s="3"/>
      <c r="Z26" s="265"/>
      <c r="AA26" s="265"/>
      <c r="AB26" s="265"/>
      <c r="AC26" s="265"/>
      <c r="AD26" s="1"/>
      <c r="AF26" s="170"/>
      <c r="AG26" s="269"/>
      <c r="AH26" s="270"/>
      <c r="AI26" s="270"/>
      <c r="AJ26" s="270"/>
      <c r="AK26" s="270"/>
      <c r="AL26" s="270"/>
      <c r="AM26" s="270"/>
      <c r="AN26" s="271"/>
    </row>
    <row r="27" spans="1:40" ht="23.1" customHeight="1" x14ac:dyDescent="0.4">
      <c r="A27" s="285"/>
      <c r="B27" s="286"/>
      <c r="C27" s="319"/>
      <c r="D27" s="287"/>
      <c r="E27" s="288"/>
      <c r="F27" s="193"/>
      <c r="G27" s="14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65"/>
      <c r="V27" s="265"/>
      <c r="W27" s="265"/>
      <c r="X27" s="265"/>
      <c r="Y27" s="3"/>
      <c r="Z27" s="265"/>
      <c r="AA27" s="265"/>
      <c r="AB27" s="265"/>
      <c r="AC27" s="265"/>
      <c r="AD27" s="1"/>
      <c r="AF27" s="177"/>
      <c r="AG27" s="272" t="s">
        <v>51</v>
      </c>
      <c r="AH27" s="272"/>
      <c r="AI27" s="272"/>
      <c r="AJ27" s="272"/>
      <c r="AK27" s="272"/>
      <c r="AL27" s="272"/>
      <c r="AM27" s="272"/>
      <c r="AN27" s="273"/>
    </row>
    <row r="28" spans="1:40" ht="23.1" customHeight="1" x14ac:dyDescent="0.4">
      <c r="A28" s="285"/>
      <c r="B28" s="251"/>
      <c r="C28" s="319"/>
      <c r="D28" s="253"/>
      <c r="E28" s="255"/>
      <c r="F28" s="149"/>
      <c r="G28" s="14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65"/>
      <c r="V28" s="265"/>
      <c r="W28" s="265"/>
      <c r="X28" s="265"/>
      <c r="Y28" s="3"/>
      <c r="Z28" s="265"/>
      <c r="AA28" s="265"/>
      <c r="AB28" s="265"/>
      <c r="AC28" s="265"/>
      <c r="AD28" s="1"/>
      <c r="AF28" s="178"/>
      <c r="AG28" s="274"/>
      <c r="AH28" s="274"/>
      <c r="AI28" s="274"/>
      <c r="AJ28" s="274"/>
      <c r="AK28" s="274"/>
      <c r="AL28" s="274"/>
      <c r="AM28" s="274"/>
      <c r="AN28" s="275"/>
    </row>
    <row r="29" spans="1:40" ht="23.1" customHeight="1" x14ac:dyDescent="0.4">
      <c r="A29" s="285"/>
      <c r="B29" s="250" t="s">
        <v>31</v>
      </c>
      <c r="C29" s="319"/>
      <c r="D29" s="322" t="s">
        <v>89</v>
      </c>
      <c r="E29" s="254" t="s">
        <v>111</v>
      </c>
      <c r="F29" s="148"/>
      <c r="G29" s="140" t="b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83"/>
      <c r="V29" s="184"/>
      <c r="W29" s="184"/>
      <c r="X29" s="185"/>
      <c r="Y29" s="3"/>
      <c r="Z29" s="183"/>
      <c r="AA29" s="184"/>
      <c r="AB29" s="184"/>
      <c r="AC29" s="185"/>
      <c r="AD29" s="1"/>
      <c r="AF29" s="164"/>
      <c r="AG29" s="259" t="s">
        <v>49</v>
      </c>
      <c r="AH29" s="259"/>
      <c r="AI29" s="259"/>
      <c r="AJ29" s="259"/>
      <c r="AK29" s="259"/>
      <c r="AL29" s="259"/>
      <c r="AM29" s="259"/>
      <c r="AN29" s="260"/>
    </row>
    <row r="30" spans="1:40" ht="23.1" customHeight="1" x14ac:dyDescent="0.4">
      <c r="A30" s="285"/>
      <c r="B30" s="286"/>
      <c r="C30" s="319"/>
      <c r="D30" s="323"/>
      <c r="E30" s="288"/>
      <c r="F30" s="193"/>
      <c r="G30" s="14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86"/>
      <c r="V30" s="187"/>
      <c r="W30" s="187"/>
      <c r="X30" s="188"/>
      <c r="Y30" s="3"/>
      <c r="Z30" s="186"/>
      <c r="AA30" s="187"/>
      <c r="AB30" s="187"/>
      <c r="AC30" s="188"/>
      <c r="AD30" s="1"/>
      <c r="AF30" s="178"/>
      <c r="AG30" s="261"/>
      <c r="AH30" s="261"/>
      <c r="AI30" s="261"/>
      <c r="AJ30" s="261"/>
      <c r="AK30" s="261"/>
      <c r="AL30" s="261"/>
      <c r="AM30" s="261"/>
      <c r="AN30" s="262"/>
    </row>
    <row r="31" spans="1:40" ht="23.1" customHeight="1" x14ac:dyDescent="0.4">
      <c r="A31" s="285"/>
      <c r="B31" s="286"/>
      <c r="C31" s="319"/>
      <c r="D31" s="323"/>
      <c r="E31" s="288"/>
      <c r="F31" s="193"/>
      <c r="G31" s="14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86"/>
      <c r="V31" s="187"/>
      <c r="W31" s="187"/>
      <c r="X31" s="188"/>
      <c r="Y31" s="3"/>
      <c r="Z31" s="186"/>
      <c r="AA31" s="187"/>
      <c r="AB31" s="187"/>
      <c r="AC31" s="188"/>
      <c r="AD31" s="1"/>
      <c r="AF31" s="164"/>
      <c r="AG31" s="259" t="s">
        <v>50</v>
      </c>
      <c r="AH31" s="259"/>
      <c r="AI31" s="259"/>
      <c r="AJ31" s="259"/>
      <c r="AK31" s="259"/>
      <c r="AL31" s="259"/>
      <c r="AM31" s="259"/>
      <c r="AN31" s="260"/>
    </row>
    <row r="32" spans="1:40" ht="23.1" customHeight="1" thickBot="1" x14ac:dyDescent="0.45">
      <c r="A32" s="285"/>
      <c r="B32" s="251"/>
      <c r="C32" s="319"/>
      <c r="D32" s="324"/>
      <c r="E32" s="255"/>
      <c r="F32" s="149"/>
      <c r="G32" s="14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86"/>
      <c r="V32" s="187"/>
      <c r="W32" s="187"/>
      <c r="X32" s="188"/>
      <c r="Y32" s="1"/>
      <c r="Z32" s="186"/>
      <c r="AA32" s="187"/>
      <c r="AB32" s="187"/>
      <c r="AC32" s="188"/>
      <c r="AD32" s="1"/>
      <c r="AF32" s="165"/>
      <c r="AG32" s="263"/>
      <c r="AH32" s="263"/>
      <c r="AI32" s="263"/>
      <c r="AJ32" s="263"/>
      <c r="AK32" s="263"/>
      <c r="AL32" s="263"/>
      <c r="AM32" s="263"/>
      <c r="AN32" s="264"/>
    </row>
    <row r="33" spans="1:40" ht="45.95" customHeight="1" thickBot="1" x14ac:dyDescent="0.45">
      <c r="A33" s="42"/>
      <c r="B33" s="250" t="s">
        <v>32</v>
      </c>
      <c r="C33" s="319"/>
      <c r="D33" s="252" t="s">
        <v>9</v>
      </c>
      <c r="E33" s="254" t="s">
        <v>157</v>
      </c>
      <c r="F33" s="148"/>
      <c r="G33" s="140" t="b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86"/>
      <c r="V33" s="187"/>
      <c r="W33" s="187"/>
      <c r="X33" s="188"/>
      <c r="Y33" s="1"/>
      <c r="Z33" s="186"/>
      <c r="AA33" s="187"/>
      <c r="AB33" s="187"/>
      <c r="AC33" s="188"/>
      <c r="AD33" s="1"/>
      <c r="AF33" s="43"/>
      <c r="AG33" s="44"/>
      <c r="AH33" s="44"/>
      <c r="AI33" s="44"/>
      <c r="AJ33" s="44"/>
      <c r="AK33" s="44"/>
      <c r="AL33" s="44"/>
      <c r="AM33" s="44"/>
      <c r="AN33" s="44"/>
    </row>
    <row r="34" spans="1:40" ht="45.95" customHeight="1" x14ac:dyDescent="0.4">
      <c r="B34" s="251"/>
      <c r="C34" s="319"/>
      <c r="D34" s="253"/>
      <c r="E34" s="255"/>
      <c r="F34" s="149"/>
      <c r="G34" s="14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89"/>
      <c r="V34" s="190"/>
      <c r="W34" s="190"/>
      <c r="X34" s="191"/>
      <c r="Y34" s="1"/>
      <c r="Z34" s="189"/>
      <c r="AA34" s="190"/>
      <c r="AB34" s="190"/>
      <c r="AC34" s="191"/>
      <c r="AD34" s="1"/>
      <c r="AF34" s="150"/>
      <c r="AG34" s="151"/>
      <c r="AH34" s="151"/>
      <c r="AI34" s="151"/>
      <c r="AJ34" s="151"/>
      <c r="AK34" s="151"/>
      <c r="AL34" s="151"/>
      <c r="AM34" s="151"/>
      <c r="AN34" s="152"/>
    </row>
    <row r="35" spans="1:40" ht="45.95" customHeight="1" thickBot="1" x14ac:dyDescent="0.45">
      <c r="B35" s="250" t="s">
        <v>33</v>
      </c>
      <c r="C35" s="319"/>
      <c r="D35" s="252" t="s">
        <v>0</v>
      </c>
      <c r="E35" s="254" t="s">
        <v>82</v>
      </c>
      <c r="F35" s="148"/>
      <c r="G35" s="140" t="b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5"/>
      <c r="V35" s="45"/>
      <c r="W35" s="45"/>
      <c r="X35" s="45"/>
      <c r="Y35" s="1"/>
      <c r="Z35" s="45"/>
      <c r="AA35" s="45"/>
      <c r="AB35" s="45"/>
      <c r="AC35" s="45"/>
      <c r="AD35" s="1"/>
      <c r="AF35" s="153"/>
      <c r="AG35" s="154"/>
      <c r="AH35" s="154"/>
      <c r="AI35" s="154"/>
      <c r="AJ35" s="154"/>
      <c r="AK35" s="154"/>
      <c r="AL35" s="154"/>
      <c r="AM35" s="154"/>
      <c r="AN35" s="155"/>
    </row>
    <row r="36" spans="1:40" ht="45.95" customHeight="1" thickBot="1" x14ac:dyDescent="0.45">
      <c r="B36" s="256"/>
      <c r="C36" s="320"/>
      <c r="D36" s="257"/>
      <c r="E36" s="258"/>
      <c r="F36" s="159"/>
      <c r="G36" s="14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49"/>
      <c r="AG36" s="249"/>
      <c r="AH36" s="249"/>
      <c r="AI36" s="249"/>
      <c r="AJ36" s="249"/>
      <c r="AK36" s="249"/>
      <c r="AL36" s="249"/>
      <c r="AM36" s="249"/>
      <c r="AN36" s="249"/>
    </row>
    <row r="37" spans="1:40" ht="56.1" customHeight="1" x14ac:dyDescent="0.3"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AF37" s="4"/>
      <c r="AG37" s="4"/>
      <c r="AH37" s="4"/>
      <c r="AI37" s="66" t="s">
        <v>46</v>
      </c>
      <c r="AJ37" s="139"/>
      <c r="AK37" s="139"/>
      <c r="AL37" s="139"/>
      <c r="AM37" s="139"/>
      <c r="AN37" s="139"/>
    </row>
    <row r="44" spans="1:40" ht="27.75" x14ac:dyDescent="0.4">
      <c r="R44" ph="1"/>
      <c r="S44" ph="1"/>
    </row>
    <row r="46" spans="1:40" ht="27.75" x14ac:dyDescent="0.4">
      <c r="R46" ph="1"/>
      <c r="S46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F29:F32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G29:G32"/>
    <mergeCell ref="U29:X34"/>
    <mergeCell ref="Z29:AC34"/>
    <mergeCell ref="AF29:AF30"/>
    <mergeCell ref="G35:G36"/>
    <mergeCell ref="AF36:AN36"/>
    <mergeCell ref="AJ37:AN37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3984B-2D02-4897-95E1-D68789E62720}">
  <sheetPr codeName="Sheet15">
    <tabColor rgb="FFFF4343"/>
  </sheetPr>
  <dimension ref="A1:AN46"/>
  <sheetViews>
    <sheetView tabSelected="1" view="pageBreakPreview" zoomScale="40" zoomScaleNormal="100" zoomScaleSheetLayoutView="40" workbookViewId="0">
      <pane xSplit="18540" topLeftCell="T1" activePane="topRight"/>
      <selection activeCell="F13" sqref="F13"/>
      <selection pane="topRight" activeCell="U18" sqref="U18:X19"/>
    </sheetView>
  </sheetViews>
  <sheetFormatPr defaultRowHeight="18.75" x14ac:dyDescent="0.4"/>
  <cols>
    <col min="1" max="1" width="6.625" customWidth="1"/>
    <col min="2" max="2" width="16.625" customWidth="1"/>
    <col min="3" max="3" width="18.625" customWidth="1"/>
    <col min="4" max="4" width="24.625" customWidth="1"/>
    <col min="5" max="5" width="100.625" customWidth="1"/>
    <col min="6" max="6" width="13.375" customWidth="1"/>
    <col min="7" max="7" width="12.625" hidden="1" customWidth="1"/>
    <col min="8" max="9" width="6.625" customWidth="1"/>
    <col min="10" max="10" width="18.625" customWidth="1"/>
    <col min="11" max="13" width="23.625" customWidth="1"/>
    <col min="14" max="14" width="8.625" customWidth="1"/>
    <col min="15" max="15" width="18.625" customWidth="1"/>
    <col min="16" max="18" width="21.625" customWidth="1"/>
    <col min="19" max="20" width="6.625" customWidth="1"/>
    <col min="21" max="24" width="21.625" customWidth="1"/>
    <col min="25" max="25" width="6.625" customWidth="1"/>
    <col min="26" max="29" width="21.625" customWidth="1"/>
    <col min="30" max="30" width="6.625" customWidth="1"/>
    <col min="31" max="31" width="8.125" customWidth="1"/>
    <col min="32" max="40" width="19.625" customWidth="1"/>
    <col min="41" max="41" width="8.125" customWidth="1"/>
  </cols>
  <sheetData>
    <row r="1" spans="2:40" x14ac:dyDescent="0.4"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40" x14ac:dyDescent="0.4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40" x14ac:dyDescent="0.4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40" x14ac:dyDescent="0.4"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40" x14ac:dyDescent="0.4"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40" x14ac:dyDescent="0.4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40" x14ac:dyDescent="0.4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40" ht="42" customHeight="1" x14ac:dyDescent="0.4"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40" ht="42" customHeight="1" x14ac:dyDescent="0.4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11" t="s">
        <v>47</v>
      </c>
      <c r="Y9" s="311"/>
      <c r="Z9" s="311"/>
      <c r="AA9" s="1"/>
      <c r="AB9" s="1"/>
      <c r="AC9" s="1"/>
      <c r="AD9" s="1"/>
      <c r="AI9" s="311" t="s">
        <v>48</v>
      </c>
      <c r="AJ9" s="312"/>
      <c r="AK9" s="312"/>
    </row>
    <row r="10" spans="2:40" ht="42" customHeight="1" x14ac:dyDescent="0.4"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311"/>
      <c r="Y10" s="311"/>
      <c r="Z10" s="311"/>
      <c r="AA10" s="1"/>
      <c r="AB10" s="1"/>
      <c r="AC10" s="1"/>
      <c r="AD10" s="1"/>
      <c r="AI10" s="312"/>
      <c r="AJ10" s="312"/>
      <c r="AK10" s="312"/>
    </row>
    <row r="11" spans="2:40" ht="42" customHeight="1" thickBot="1" x14ac:dyDescent="0.45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40" ht="39.950000000000003" customHeight="1" thickTop="1" thickBot="1" x14ac:dyDescent="0.45">
      <c r="B12" s="48"/>
      <c r="C12" s="59" t="s">
        <v>17</v>
      </c>
      <c r="D12" s="60" t="s">
        <v>7</v>
      </c>
      <c r="E12" s="65" t="s">
        <v>6</v>
      </c>
      <c r="F12" s="51" t="s">
        <v>16</v>
      </c>
      <c r="I12" s="1"/>
      <c r="J12" s="313" t="s">
        <v>15</v>
      </c>
      <c r="K12" s="314"/>
      <c r="L12" s="39" t="s">
        <v>35</v>
      </c>
      <c r="M12" s="41" t="s">
        <v>13</v>
      </c>
      <c r="N12" s="1"/>
      <c r="O12" s="315" t="s">
        <v>14</v>
      </c>
      <c r="P12" s="316"/>
      <c r="Q12" s="40" t="s">
        <v>35</v>
      </c>
      <c r="R12" s="38" t="s">
        <v>13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40" ht="92.1" customHeight="1" x14ac:dyDescent="0.4">
      <c r="B13" s="47" t="s">
        <v>18</v>
      </c>
      <c r="C13" s="317" t="s">
        <v>72</v>
      </c>
      <c r="D13" s="136" t="s">
        <v>2</v>
      </c>
      <c r="E13" s="52" t="s">
        <v>163</v>
      </c>
      <c r="F13" s="129"/>
      <c r="G13" s="128" t="b">
        <v>0</v>
      </c>
      <c r="I13" s="1"/>
      <c r="J13" s="17" t="s">
        <v>72</v>
      </c>
      <c r="K13" s="5" t="s">
        <v>12</v>
      </c>
      <c r="L13" s="28">
        <f>COUNTIF(G13:G16,TRUE)</f>
        <v>0</v>
      </c>
      <c r="M13" s="32">
        <f>COUNTIF(医療・福祉業編!G13:G16,FALSE)*2</f>
        <v>8</v>
      </c>
      <c r="N13" s="2"/>
      <c r="O13" s="24" t="s">
        <v>42</v>
      </c>
      <c r="P13" s="9" t="s">
        <v>36</v>
      </c>
      <c r="Q13" s="36">
        <f>COUNTIFS(G13:G35,TRUE,D13:D35,"人材・組織")</f>
        <v>0</v>
      </c>
      <c r="R13" s="34">
        <f>COUNTIFS(医療・福祉業編!G13:G35,FALSE,医療・福祉業編!D13:D35,"人材・組織")*2</f>
        <v>8</v>
      </c>
      <c r="S13" s="1"/>
      <c r="T13" s="1"/>
      <c r="U13" s="306" t="s">
        <v>72</v>
      </c>
      <c r="V13" s="307"/>
      <c r="W13" s="307"/>
      <c r="X13" s="308"/>
      <c r="Y13" s="1"/>
      <c r="Z13" s="306" t="s">
        <v>174</v>
      </c>
      <c r="AA13" s="307"/>
      <c r="AB13" s="307"/>
      <c r="AC13" s="308"/>
      <c r="AD13" s="1"/>
      <c r="AF13" s="303" t="s">
        <v>43</v>
      </c>
      <c r="AG13" s="304"/>
      <c r="AH13" s="304"/>
      <c r="AI13" s="304"/>
      <c r="AJ13" s="304"/>
      <c r="AK13" s="304"/>
      <c r="AL13" s="304"/>
      <c r="AM13" s="304"/>
      <c r="AN13" s="305"/>
    </row>
    <row r="14" spans="2:40" ht="92.1" customHeight="1" x14ac:dyDescent="0.4">
      <c r="B14" s="11" t="s">
        <v>19</v>
      </c>
      <c r="C14" s="298"/>
      <c r="D14" s="21" t="s">
        <v>89</v>
      </c>
      <c r="E14" s="53" t="s">
        <v>164</v>
      </c>
      <c r="F14" s="130"/>
      <c r="G14" s="128" t="b">
        <v>0</v>
      </c>
      <c r="I14" s="1"/>
      <c r="J14" s="138" t="s">
        <v>175</v>
      </c>
      <c r="K14" s="6" t="s">
        <v>11</v>
      </c>
      <c r="L14" s="29">
        <f>COUNTIF(G17:G20,TRUE)</f>
        <v>0</v>
      </c>
      <c r="M14" s="33">
        <f>COUNTIF(医療・福祉業編!G17:G20,FALSE)*2</f>
        <v>8</v>
      </c>
      <c r="N14" s="2"/>
      <c r="O14" s="24" t="s">
        <v>90</v>
      </c>
      <c r="P14" s="9" t="s">
        <v>37</v>
      </c>
      <c r="Q14" s="36">
        <f>COUNTIFS(G13:G35,TRUE,D13:D35,"設備・サービス")</f>
        <v>0</v>
      </c>
      <c r="R14" s="34">
        <f>COUNTIFS(医療・福祉業編!G13:G35,FALSE,医療・福祉業編!D13:D35,"設備・サービス")*2</f>
        <v>8</v>
      </c>
      <c r="S14" s="1"/>
      <c r="T14" s="1"/>
      <c r="U14" s="230"/>
      <c r="V14" s="231"/>
      <c r="W14" s="231"/>
      <c r="X14" s="232"/>
      <c r="Y14" s="1"/>
      <c r="Z14" s="230"/>
      <c r="AA14" s="231"/>
      <c r="AB14" s="231"/>
      <c r="AC14" s="232"/>
      <c r="AD14" s="1"/>
      <c r="AF14" s="243"/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11" t="s">
        <v>20</v>
      </c>
      <c r="C15" s="298"/>
      <c r="D15" s="62" t="s">
        <v>9</v>
      </c>
      <c r="E15" s="53" t="s">
        <v>165</v>
      </c>
      <c r="F15" s="130"/>
      <c r="G15" s="128" t="b">
        <v>0</v>
      </c>
      <c r="I15" s="1"/>
      <c r="J15" s="19" t="s">
        <v>91</v>
      </c>
      <c r="K15" s="7" t="s">
        <v>10</v>
      </c>
      <c r="L15" s="30">
        <f>COUNTIF(G21:G24,TRUE)</f>
        <v>0</v>
      </c>
      <c r="M15" s="34">
        <f>COUNTIF(医療・福祉業編!G21:G24,FALSE)*2</f>
        <v>8</v>
      </c>
      <c r="N15" s="2"/>
      <c r="O15" s="25" t="s">
        <v>9</v>
      </c>
      <c r="P15" s="9" t="s">
        <v>38</v>
      </c>
      <c r="Q15" s="36">
        <f>COUNTIFS(G13:G35,TRUE,D13:D35,"資金")</f>
        <v>0</v>
      </c>
      <c r="R15" s="34">
        <f>COUNTIFS(医療・福祉業編!G13:G35,FALSE,医療・福祉業編!D13:D35,"資金")*2</f>
        <v>8</v>
      </c>
      <c r="S15" s="1"/>
      <c r="T15" s="1"/>
      <c r="U15" s="233"/>
      <c r="V15" s="234"/>
      <c r="W15" s="234"/>
      <c r="X15" s="235"/>
      <c r="Y15" s="1"/>
      <c r="Z15" s="233"/>
      <c r="AA15" s="234"/>
      <c r="AB15" s="234"/>
      <c r="AC15" s="235"/>
      <c r="AD15" s="1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2" t="s">
        <v>21</v>
      </c>
      <c r="C16" s="299"/>
      <c r="D16" s="63" t="s">
        <v>0</v>
      </c>
      <c r="E16" s="54" t="s">
        <v>166</v>
      </c>
      <c r="F16" s="131"/>
      <c r="G16" s="128" t="b">
        <v>0</v>
      </c>
      <c r="I16" s="1"/>
      <c r="J16" s="20" t="s">
        <v>177</v>
      </c>
      <c r="K16" s="8" t="s">
        <v>8</v>
      </c>
      <c r="L16" s="31">
        <f>COUNTIF(G25:G35,TRUE)</f>
        <v>0</v>
      </c>
      <c r="M16" s="35">
        <f>COUNTIF(医療・福祉業編!G25:G35,FALSE)*2</f>
        <v>8</v>
      </c>
      <c r="N16" s="2"/>
      <c r="O16" s="26" t="s">
        <v>0</v>
      </c>
      <c r="P16" s="10" t="s">
        <v>39</v>
      </c>
      <c r="Q16" s="37">
        <f>COUNTIFS(G13:G35,TRUE,D13:D35,"情報")</f>
        <v>0</v>
      </c>
      <c r="R16" s="35">
        <f>COUNTIFS(医療・福祉業編!G13:G35,FALSE,医療・福祉業編!D13:D35,"情報")*2</f>
        <v>8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92.1" customHeight="1" thickTop="1" x14ac:dyDescent="0.4">
      <c r="B17" s="13" t="s">
        <v>22</v>
      </c>
      <c r="C17" s="346" t="s">
        <v>175</v>
      </c>
      <c r="D17" s="64" t="s">
        <v>2</v>
      </c>
      <c r="E17" s="137" t="s">
        <v>167</v>
      </c>
      <c r="F17" s="132"/>
      <c r="G17" s="128" t="b">
        <v>0</v>
      </c>
      <c r="I17" s="1"/>
      <c r="J17" s="1"/>
      <c r="K17" s="1"/>
      <c r="L17" s="1"/>
      <c r="M17" s="27"/>
      <c r="N17" s="1"/>
      <c r="O17" s="1"/>
      <c r="P17" s="1"/>
      <c r="Q17" s="1"/>
      <c r="R17" s="1"/>
      <c r="S17" s="1"/>
      <c r="T17" s="1"/>
      <c r="U17" s="306" t="s">
        <v>91</v>
      </c>
      <c r="V17" s="307"/>
      <c r="W17" s="307"/>
      <c r="X17" s="308"/>
      <c r="Y17" s="1"/>
      <c r="Z17" s="306" t="s">
        <v>177</v>
      </c>
      <c r="AA17" s="309"/>
      <c r="AB17" s="309"/>
      <c r="AC17" s="310"/>
      <c r="AD17" s="1"/>
      <c r="AF17" s="303" t="s">
        <v>44</v>
      </c>
      <c r="AG17" s="304"/>
      <c r="AH17" s="304"/>
      <c r="AI17" s="304"/>
      <c r="AJ17" s="304"/>
      <c r="AK17" s="304"/>
      <c r="AL17" s="304"/>
      <c r="AM17" s="304"/>
      <c r="AN17" s="305"/>
    </row>
    <row r="18" spans="1:40" ht="92.1" customHeight="1" x14ac:dyDescent="0.4">
      <c r="B18" s="14" t="s">
        <v>23</v>
      </c>
      <c r="C18" s="347"/>
      <c r="D18" s="21" t="s">
        <v>89</v>
      </c>
      <c r="E18" s="137" t="s">
        <v>168</v>
      </c>
      <c r="F18" s="133"/>
      <c r="G18" s="128" t="b"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30"/>
      <c r="V18" s="231"/>
      <c r="W18" s="231"/>
      <c r="X18" s="232"/>
      <c r="Y18" s="1"/>
      <c r="Z18" s="230"/>
      <c r="AA18" s="231"/>
      <c r="AB18" s="231"/>
      <c r="AC18" s="232"/>
      <c r="AD18" s="1"/>
      <c r="AF18" s="243"/>
      <c r="AG18" s="244"/>
      <c r="AH18" s="244"/>
      <c r="AI18" s="244"/>
      <c r="AJ18" s="244"/>
      <c r="AK18" s="244"/>
      <c r="AL18" s="244"/>
      <c r="AM18" s="244"/>
      <c r="AN18" s="245"/>
    </row>
    <row r="19" spans="1:40" ht="92.1" customHeight="1" x14ac:dyDescent="0.4">
      <c r="B19" s="14" t="s">
        <v>24</v>
      </c>
      <c r="C19" s="347"/>
      <c r="D19" s="62" t="s">
        <v>9</v>
      </c>
      <c r="E19" s="56" t="s">
        <v>169</v>
      </c>
      <c r="F19" s="133"/>
      <c r="G19" s="128" t="b"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33"/>
      <c r="V19" s="234"/>
      <c r="W19" s="234"/>
      <c r="X19" s="235"/>
      <c r="Y19" s="1"/>
      <c r="Z19" s="233"/>
      <c r="AA19" s="234"/>
      <c r="AB19" s="234"/>
      <c r="AC19" s="235"/>
      <c r="AD19" s="1"/>
      <c r="AF19" s="246"/>
      <c r="AG19" s="247"/>
      <c r="AH19" s="247"/>
      <c r="AI19" s="247"/>
      <c r="AJ19" s="247"/>
      <c r="AK19" s="247"/>
      <c r="AL19" s="247"/>
      <c r="AM19" s="247"/>
      <c r="AN19" s="248"/>
    </row>
    <row r="20" spans="1:40" ht="92.1" customHeight="1" thickBot="1" x14ac:dyDescent="0.45">
      <c r="B20" s="15" t="s">
        <v>25</v>
      </c>
      <c r="C20" s="348"/>
      <c r="D20" s="63" t="s">
        <v>0</v>
      </c>
      <c r="E20" s="57" t="s">
        <v>170</v>
      </c>
      <c r="F20" s="134"/>
      <c r="G20" s="128" t="b"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92.1" customHeight="1" x14ac:dyDescent="0.4">
      <c r="B21" s="16" t="s">
        <v>26</v>
      </c>
      <c r="C21" s="297" t="s">
        <v>91</v>
      </c>
      <c r="D21" s="64" t="s">
        <v>2</v>
      </c>
      <c r="E21" s="58" t="s">
        <v>171</v>
      </c>
      <c r="F21" s="135"/>
      <c r="G21" s="128" t="b">
        <v>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300" t="s">
        <v>42</v>
      </c>
      <c r="V21" s="301"/>
      <c r="W21" s="301"/>
      <c r="X21" s="302"/>
      <c r="Y21" s="3"/>
      <c r="Z21" s="300" t="s">
        <v>89</v>
      </c>
      <c r="AA21" s="301"/>
      <c r="AB21" s="301"/>
      <c r="AC21" s="302"/>
      <c r="AD21" s="1"/>
      <c r="AF21" s="303" t="s">
        <v>45</v>
      </c>
      <c r="AG21" s="304"/>
      <c r="AH21" s="304"/>
      <c r="AI21" s="304"/>
      <c r="AJ21" s="304"/>
      <c r="AK21" s="304"/>
      <c r="AL21" s="304"/>
      <c r="AM21" s="304"/>
      <c r="AN21" s="305"/>
    </row>
    <row r="22" spans="1:40" ht="92.1" customHeight="1" x14ac:dyDescent="0.4">
      <c r="B22" s="11" t="s">
        <v>27</v>
      </c>
      <c r="C22" s="298"/>
      <c r="D22" s="21" t="s">
        <v>89</v>
      </c>
      <c r="E22" s="53" t="s">
        <v>172</v>
      </c>
      <c r="F22" s="130"/>
      <c r="G22" s="128" t="b"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213"/>
      <c r="V22" s="214"/>
      <c r="W22" s="214"/>
      <c r="X22" s="215"/>
      <c r="Y22" s="3"/>
      <c r="Z22" s="213"/>
      <c r="AA22" s="214"/>
      <c r="AB22" s="214"/>
      <c r="AC22" s="215"/>
      <c r="AD22" s="1"/>
      <c r="AF22" s="243"/>
      <c r="AG22" s="244"/>
      <c r="AH22" s="244"/>
      <c r="AI22" s="244"/>
      <c r="AJ22" s="244"/>
      <c r="AK22" s="244"/>
      <c r="AL22" s="244"/>
      <c r="AM22" s="244"/>
      <c r="AN22" s="245"/>
    </row>
    <row r="23" spans="1:40" ht="92.1" customHeight="1" x14ac:dyDescent="0.4">
      <c r="B23" s="11" t="s">
        <v>28</v>
      </c>
      <c r="C23" s="298"/>
      <c r="D23" s="62" t="s">
        <v>9</v>
      </c>
      <c r="E23" s="53" t="s">
        <v>173</v>
      </c>
      <c r="F23" s="130"/>
      <c r="G23" s="128" t="b"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216"/>
      <c r="V23" s="217"/>
      <c r="W23" s="217"/>
      <c r="X23" s="218"/>
      <c r="Y23" s="3"/>
      <c r="Z23" s="216"/>
      <c r="AA23" s="217"/>
      <c r="AB23" s="217"/>
      <c r="AC23" s="218"/>
      <c r="AD23" s="1"/>
      <c r="AF23" s="246"/>
      <c r="AG23" s="247"/>
      <c r="AH23" s="247"/>
      <c r="AI23" s="247"/>
      <c r="AJ23" s="247"/>
      <c r="AK23" s="247"/>
      <c r="AL23" s="247"/>
      <c r="AM23" s="247"/>
      <c r="AN23" s="248"/>
    </row>
    <row r="24" spans="1:40" ht="92.1" customHeight="1" thickBot="1" x14ac:dyDescent="0.45">
      <c r="B24" s="12" t="s">
        <v>29</v>
      </c>
      <c r="C24" s="299"/>
      <c r="D24" s="63" t="s">
        <v>0</v>
      </c>
      <c r="E24" s="54" t="s">
        <v>176</v>
      </c>
      <c r="F24" s="131"/>
      <c r="G24" s="128" t="b"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3"/>
      <c r="V24" s="3"/>
      <c r="W24" s="3"/>
      <c r="X24" s="3"/>
      <c r="Y24" s="3"/>
      <c r="Z24" s="3"/>
      <c r="AA24" s="3"/>
      <c r="AB24" s="3"/>
      <c r="AC24" s="3"/>
      <c r="AD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23.1" customHeight="1" x14ac:dyDescent="0.4">
      <c r="A25" s="285"/>
      <c r="B25" s="289" t="s">
        <v>30</v>
      </c>
      <c r="C25" s="318" t="s">
        <v>177</v>
      </c>
      <c r="D25" s="293" t="s">
        <v>2</v>
      </c>
      <c r="E25" s="321" t="s">
        <v>178</v>
      </c>
      <c r="F25" s="192"/>
      <c r="G25" s="140" t="b"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265" t="s">
        <v>9</v>
      </c>
      <c r="V25" s="265"/>
      <c r="W25" s="265"/>
      <c r="X25" s="265"/>
      <c r="Y25" s="3"/>
      <c r="Z25" s="265" t="s">
        <v>0</v>
      </c>
      <c r="AA25" s="265"/>
      <c r="AB25" s="265"/>
      <c r="AC25" s="265"/>
      <c r="AD25" s="1"/>
      <c r="AF25" s="169"/>
      <c r="AG25" s="266" t="s">
        <v>160</v>
      </c>
      <c r="AH25" s="267"/>
      <c r="AI25" s="267"/>
      <c r="AJ25" s="267"/>
      <c r="AK25" s="267"/>
      <c r="AL25" s="267"/>
      <c r="AM25" s="267"/>
      <c r="AN25" s="268"/>
    </row>
    <row r="26" spans="1:40" ht="23.1" customHeight="1" x14ac:dyDescent="0.4">
      <c r="A26" s="285"/>
      <c r="B26" s="286"/>
      <c r="C26" s="319"/>
      <c r="D26" s="287"/>
      <c r="E26" s="288"/>
      <c r="F26" s="193"/>
      <c r="G26" s="14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265"/>
      <c r="V26" s="265"/>
      <c r="W26" s="265"/>
      <c r="X26" s="265"/>
      <c r="Y26" s="3"/>
      <c r="Z26" s="265"/>
      <c r="AA26" s="265"/>
      <c r="AB26" s="265"/>
      <c r="AC26" s="265"/>
      <c r="AD26" s="1"/>
      <c r="AF26" s="170"/>
      <c r="AG26" s="269"/>
      <c r="AH26" s="270"/>
      <c r="AI26" s="270"/>
      <c r="AJ26" s="270"/>
      <c r="AK26" s="270"/>
      <c r="AL26" s="270"/>
      <c r="AM26" s="270"/>
      <c r="AN26" s="271"/>
    </row>
    <row r="27" spans="1:40" ht="23.1" customHeight="1" x14ac:dyDescent="0.4">
      <c r="A27" s="285"/>
      <c r="B27" s="286"/>
      <c r="C27" s="319"/>
      <c r="D27" s="287"/>
      <c r="E27" s="288"/>
      <c r="F27" s="193"/>
      <c r="G27" s="14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65"/>
      <c r="V27" s="265"/>
      <c r="W27" s="265"/>
      <c r="X27" s="265"/>
      <c r="Y27" s="3"/>
      <c r="Z27" s="265"/>
      <c r="AA27" s="265"/>
      <c r="AB27" s="265"/>
      <c r="AC27" s="265"/>
      <c r="AD27" s="1"/>
      <c r="AF27" s="177"/>
      <c r="AG27" s="272" t="s">
        <v>51</v>
      </c>
      <c r="AH27" s="272"/>
      <c r="AI27" s="272"/>
      <c r="AJ27" s="272"/>
      <c r="AK27" s="272"/>
      <c r="AL27" s="272"/>
      <c r="AM27" s="272"/>
      <c r="AN27" s="273"/>
    </row>
    <row r="28" spans="1:40" ht="23.1" customHeight="1" x14ac:dyDescent="0.4">
      <c r="A28" s="285"/>
      <c r="B28" s="251"/>
      <c r="C28" s="319"/>
      <c r="D28" s="253"/>
      <c r="E28" s="255"/>
      <c r="F28" s="149"/>
      <c r="G28" s="14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65"/>
      <c r="V28" s="265"/>
      <c r="W28" s="265"/>
      <c r="X28" s="265"/>
      <c r="Y28" s="3"/>
      <c r="Z28" s="265"/>
      <c r="AA28" s="265"/>
      <c r="AB28" s="265"/>
      <c r="AC28" s="265"/>
      <c r="AD28" s="1"/>
      <c r="AF28" s="178"/>
      <c r="AG28" s="274"/>
      <c r="AH28" s="274"/>
      <c r="AI28" s="274"/>
      <c r="AJ28" s="274"/>
      <c r="AK28" s="274"/>
      <c r="AL28" s="274"/>
      <c r="AM28" s="274"/>
      <c r="AN28" s="275"/>
    </row>
    <row r="29" spans="1:40" ht="23.1" customHeight="1" x14ac:dyDescent="0.4">
      <c r="A29" s="285"/>
      <c r="B29" s="250" t="s">
        <v>31</v>
      </c>
      <c r="C29" s="319"/>
      <c r="D29" s="322" t="s">
        <v>89</v>
      </c>
      <c r="E29" s="254" t="s">
        <v>179</v>
      </c>
      <c r="F29" s="148"/>
      <c r="G29" s="140" t="b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83"/>
      <c r="V29" s="184"/>
      <c r="W29" s="184"/>
      <c r="X29" s="185"/>
      <c r="Y29" s="3"/>
      <c r="Z29" s="183"/>
      <c r="AA29" s="184"/>
      <c r="AB29" s="184"/>
      <c r="AC29" s="185"/>
      <c r="AD29" s="1"/>
      <c r="AF29" s="164"/>
      <c r="AG29" s="259" t="s">
        <v>49</v>
      </c>
      <c r="AH29" s="259"/>
      <c r="AI29" s="259"/>
      <c r="AJ29" s="259"/>
      <c r="AK29" s="259"/>
      <c r="AL29" s="259"/>
      <c r="AM29" s="259"/>
      <c r="AN29" s="260"/>
    </row>
    <row r="30" spans="1:40" ht="23.1" customHeight="1" x14ac:dyDescent="0.4">
      <c r="A30" s="285"/>
      <c r="B30" s="286"/>
      <c r="C30" s="319"/>
      <c r="D30" s="323"/>
      <c r="E30" s="288"/>
      <c r="F30" s="193"/>
      <c r="G30" s="14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86"/>
      <c r="V30" s="187"/>
      <c r="W30" s="187"/>
      <c r="X30" s="188"/>
      <c r="Y30" s="3"/>
      <c r="Z30" s="186"/>
      <c r="AA30" s="187"/>
      <c r="AB30" s="187"/>
      <c r="AC30" s="188"/>
      <c r="AD30" s="1"/>
      <c r="AF30" s="178"/>
      <c r="AG30" s="261"/>
      <c r="AH30" s="261"/>
      <c r="AI30" s="261"/>
      <c r="AJ30" s="261"/>
      <c r="AK30" s="261"/>
      <c r="AL30" s="261"/>
      <c r="AM30" s="261"/>
      <c r="AN30" s="262"/>
    </row>
    <row r="31" spans="1:40" ht="23.1" customHeight="1" x14ac:dyDescent="0.4">
      <c r="A31" s="285"/>
      <c r="B31" s="286"/>
      <c r="C31" s="319"/>
      <c r="D31" s="323"/>
      <c r="E31" s="288"/>
      <c r="F31" s="193"/>
      <c r="G31" s="14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86"/>
      <c r="V31" s="187"/>
      <c r="W31" s="187"/>
      <c r="X31" s="188"/>
      <c r="Y31" s="3"/>
      <c r="Z31" s="186"/>
      <c r="AA31" s="187"/>
      <c r="AB31" s="187"/>
      <c r="AC31" s="188"/>
      <c r="AD31" s="1"/>
      <c r="AF31" s="164"/>
      <c r="AG31" s="259" t="s">
        <v>50</v>
      </c>
      <c r="AH31" s="259"/>
      <c r="AI31" s="259"/>
      <c r="AJ31" s="259"/>
      <c r="AK31" s="259"/>
      <c r="AL31" s="259"/>
      <c r="AM31" s="259"/>
      <c r="AN31" s="260"/>
    </row>
    <row r="32" spans="1:40" ht="23.1" customHeight="1" thickBot="1" x14ac:dyDescent="0.45">
      <c r="A32" s="285"/>
      <c r="B32" s="251"/>
      <c r="C32" s="319"/>
      <c r="D32" s="324"/>
      <c r="E32" s="255"/>
      <c r="F32" s="149"/>
      <c r="G32" s="14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86"/>
      <c r="V32" s="187"/>
      <c r="W32" s="187"/>
      <c r="X32" s="188"/>
      <c r="Y32" s="1"/>
      <c r="Z32" s="186"/>
      <c r="AA32" s="187"/>
      <c r="AB32" s="187"/>
      <c r="AC32" s="188"/>
      <c r="AD32" s="1"/>
      <c r="AF32" s="165"/>
      <c r="AG32" s="263"/>
      <c r="AH32" s="263"/>
      <c r="AI32" s="263"/>
      <c r="AJ32" s="263"/>
      <c r="AK32" s="263"/>
      <c r="AL32" s="263"/>
      <c r="AM32" s="263"/>
      <c r="AN32" s="264"/>
    </row>
    <row r="33" spans="1:40" ht="45.95" customHeight="1" thickBot="1" x14ac:dyDescent="0.45">
      <c r="A33" s="42"/>
      <c r="B33" s="250" t="s">
        <v>32</v>
      </c>
      <c r="C33" s="319"/>
      <c r="D33" s="252" t="s">
        <v>9</v>
      </c>
      <c r="E33" s="254" t="s">
        <v>180</v>
      </c>
      <c r="F33" s="148"/>
      <c r="G33" s="140" t="b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86"/>
      <c r="V33" s="187"/>
      <c r="W33" s="187"/>
      <c r="X33" s="188"/>
      <c r="Y33" s="1"/>
      <c r="Z33" s="186"/>
      <c r="AA33" s="187"/>
      <c r="AB33" s="187"/>
      <c r="AC33" s="188"/>
      <c r="AD33" s="1"/>
      <c r="AF33" s="43"/>
      <c r="AG33" s="44"/>
      <c r="AH33" s="44"/>
      <c r="AI33" s="44"/>
      <c r="AJ33" s="44"/>
      <c r="AK33" s="44"/>
      <c r="AL33" s="44"/>
      <c r="AM33" s="44"/>
      <c r="AN33" s="44"/>
    </row>
    <row r="34" spans="1:40" ht="45.95" customHeight="1" x14ac:dyDescent="0.4">
      <c r="B34" s="251"/>
      <c r="C34" s="319"/>
      <c r="D34" s="253"/>
      <c r="E34" s="255"/>
      <c r="F34" s="149"/>
      <c r="G34" s="14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89"/>
      <c r="V34" s="190"/>
      <c r="W34" s="190"/>
      <c r="X34" s="191"/>
      <c r="Y34" s="1"/>
      <c r="Z34" s="189"/>
      <c r="AA34" s="190"/>
      <c r="AB34" s="190"/>
      <c r="AC34" s="191"/>
      <c r="AD34" s="1"/>
      <c r="AF34" s="150"/>
      <c r="AG34" s="151"/>
      <c r="AH34" s="151"/>
      <c r="AI34" s="151"/>
      <c r="AJ34" s="151"/>
      <c r="AK34" s="151"/>
      <c r="AL34" s="151"/>
      <c r="AM34" s="151"/>
      <c r="AN34" s="152"/>
    </row>
    <row r="35" spans="1:40" ht="45.95" customHeight="1" thickBot="1" x14ac:dyDescent="0.45">
      <c r="B35" s="250" t="s">
        <v>33</v>
      </c>
      <c r="C35" s="319"/>
      <c r="D35" s="252" t="s">
        <v>0</v>
      </c>
      <c r="E35" s="254" t="s">
        <v>181</v>
      </c>
      <c r="F35" s="148"/>
      <c r="G35" s="140" t="b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5"/>
      <c r="V35" s="45"/>
      <c r="W35" s="45"/>
      <c r="X35" s="45"/>
      <c r="Y35" s="1"/>
      <c r="Z35" s="45"/>
      <c r="AA35" s="45"/>
      <c r="AB35" s="45"/>
      <c r="AC35" s="45"/>
      <c r="AD35" s="1"/>
      <c r="AF35" s="153"/>
      <c r="AG35" s="154"/>
      <c r="AH35" s="154"/>
      <c r="AI35" s="154"/>
      <c r="AJ35" s="154"/>
      <c r="AK35" s="154"/>
      <c r="AL35" s="154"/>
      <c r="AM35" s="154"/>
      <c r="AN35" s="155"/>
    </row>
    <row r="36" spans="1:40" ht="45.95" customHeight="1" thickBot="1" x14ac:dyDescent="0.45">
      <c r="B36" s="256"/>
      <c r="C36" s="320"/>
      <c r="D36" s="257"/>
      <c r="E36" s="258"/>
      <c r="F36" s="159"/>
      <c r="G36" s="14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49"/>
      <c r="AG36" s="249"/>
      <c r="AH36" s="249"/>
      <c r="AI36" s="249"/>
      <c r="AJ36" s="249"/>
      <c r="AK36" s="249"/>
      <c r="AL36" s="249"/>
      <c r="AM36" s="249"/>
      <c r="AN36" s="249"/>
    </row>
    <row r="37" spans="1:40" ht="56.1" customHeight="1" x14ac:dyDescent="0.3"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AF37" s="4"/>
      <c r="AG37" s="4"/>
      <c r="AH37" s="4"/>
      <c r="AI37" s="66" t="s">
        <v>46</v>
      </c>
      <c r="AJ37" s="139"/>
      <c r="AK37" s="139"/>
      <c r="AL37" s="139"/>
      <c r="AM37" s="139"/>
      <c r="AN37" s="139"/>
    </row>
    <row r="44" spans="1:40" ht="27.75" x14ac:dyDescent="0.4">
      <c r="R44" ph="1"/>
      <c r="S44" ph="1"/>
    </row>
    <row r="46" spans="1:40" ht="27.75" x14ac:dyDescent="0.4">
      <c r="R46" ph="1"/>
      <c r="S46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F29:F32"/>
    <mergeCell ref="G29:G32"/>
    <mergeCell ref="U29:X34"/>
    <mergeCell ref="Z29:AC34"/>
    <mergeCell ref="AF29:AF30"/>
    <mergeCell ref="G35:G36"/>
    <mergeCell ref="AF36:AN36"/>
    <mergeCell ref="AJ37:AN37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8FC06-14CD-4F4F-80F9-DD0DA9A39E1A}">
  <sheetPr codeName="Sheet16">
    <tabColor rgb="FF57D3FF"/>
  </sheetPr>
  <dimension ref="A1:AN46"/>
  <sheetViews>
    <sheetView view="pageBreakPreview" zoomScale="40" zoomScaleNormal="100" zoomScaleSheetLayoutView="40" workbookViewId="0">
      <pane xSplit="18540"/>
      <selection activeCell="F13" sqref="F13"/>
      <selection pane="topRight" activeCell="Z18" sqref="Z18:AC19"/>
    </sheetView>
  </sheetViews>
  <sheetFormatPr defaultRowHeight="18.75" x14ac:dyDescent="0.4"/>
  <cols>
    <col min="1" max="1" width="6.625" customWidth="1"/>
    <col min="2" max="2" width="16.625" customWidth="1"/>
    <col min="3" max="3" width="18.625" customWidth="1"/>
    <col min="4" max="4" width="24.625" customWidth="1"/>
    <col min="5" max="5" width="100.625" customWidth="1"/>
    <col min="6" max="6" width="13.375" customWidth="1"/>
    <col min="7" max="7" width="12.625" hidden="1" customWidth="1"/>
    <col min="8" max="9" width="6.625" customWidth="1"/>
    <col min="10" max="10" width="18.625" customWidth="1"/>
    <col min="11" max="13" width="23.625" customWidth="1"/>
    <col min="14" max="14" width="8.625" customWidth="1"/>
    <col min="15" max="15" width="18.625" customWidth="1"/>
    <col min="16" max="18" width="21.625" customWidth="1"/>
    <col min="19" max="20" width="6.625" customWidth="1"/>
    <col min="21" max="24" width="21.625" customWidth="1"/>
    <col min="25" max="25" width="6.625" customWidth="1"/>
    <col min="26" max="29" width="21.625" customWidth="1"/>
    <col min="30" max="30" width="6.625" customWidth="1"/>
    <col min="31" max="31" width="8.125" customWidth="1"/>
    <col min="32" max="40" width="19.625" customWidth="1"/>
    <col min="41" max="41" width="8.125" customWidth="1"/>
  </cols>
  <sheetData>
    <row r="1" spans="2:40" x14ac:dyDescent="0.4"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40" x14ac:dyDescent="0.4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40" x14ac:dyDescent="0.4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40" x14ac:dyDescent="0.4"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40" x14ac:dyDescent="0.4"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40" x14ac:dyDescent="0.4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40" x14ac:dyDescent="0.4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40" ht="42" customHeight="1" x14ac:dyDescent="0.4"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40" ht="42" customHeight="1" x14ac:dyDescent="0.4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11" t="s">
        <v>47</v>
      </c>
      <c r="Y9" s="311"/>
      <c r="Z9" s="311"/>
      <c r="AA9" s="1"/>
      <c r="AB9" s="1"/>
      <c r="AC9" s="1"/>
      <c r="AD9" s="1"/>
      <c r="AI9" s="311" t="s">
        <v>48</v>
      </c>
      <c r="AJ9" s="312"/>
      <c r="AK9" s="312"/>
    </row>
    <row r="10" spans="2:40" ht="42" customHeight="1" x14ac:dyDescent="0.4"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311"/>
      <c r="Y10" s="311"/>
      <c r="Z10" s="311"/>
      <c r="AA10" s="1"/>
      <c r="AB10" s="1"/>
      <c r="AC10" s="1"/>
      <c r="AD10" s="1"/>
      <c r="AI10" s="312"/>
      <c r="AJ10" s="312"/>
      <c r="AK10" s="312"/>
    </row>
    <row r="11" spans="2:40" ht="42" customHeight="1" thickBot="1" x14ac:dyDescent="0.45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40" ht="39.950000000000003" customHeight="1" thickTop="1" thickBot="1" x14ac:dyDescent="0.45">
      <c r="B12" s="48"/>
      <c r="C12" s="59" t="s">
        <v>17</v>
      </c>
      <c r="D12" s="60" t="s">
        <v>7</v>
      </c>
      <c r="E12" s="65" t="s">
        <v>6</v>
      </c>
      <c r="F12" s="51" t="s">
        <v>16</v>
      </c>
      <c r="I12" s="1"/>
      <c r="J12" s="313" t="s">
        <v>15</v>
      </c>
      <c r="K12" s="314"/>
      <c r="L12" s="39" t="s">
        <v>35</v>
      </c>
      <c r="M12" s="41" t="s">
        <v>13</v>
      </c>
      <c r="N12" s="1"/>
      <c r="O12" s="315" t="s">
        <v>14</v>
      </c>
      <c r="P12" s="316"/>
      <c r="Q12" s="40" t="s">
        <v>35</v>
      </c>
      <c r="R12" s="38" t="s">
        <v>13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40" ht="92.1" customHeight="1" x14ac:dyDescent="0.4">
      <c r="B13" s="47" t="s">
        <v>18</v>
      </c>
      <c r="C13" s="317" t="s">
        <v>72</v>
      </c>
      <c r="D13" s="136" t="s">
        <v>2</v>
      </c>
      <c r="E13" s="52" t="s">
        <v>182</v>
      </c>
      <c r="F13" s="129"/>
      <c r="G13" s="128" t="b">
        <v>0</v>
      </c>
      <c r="I13" s="1"/>
      <c r="J13" s="17" t="s">
        <v>72</v>
      </c>
      <c r="K13" s="5" t="s">
        <v>12</v>
      </c>
      <c r="L13" s="28">
        <f>COUNTIF(G13:G16,TRUE)</f>
        <v>0</v>
      </c>
      <c r="M13" s="32">
        <f>COUNTIF(運輸業編!G13:G16,FALSE)*2</f>
        <v>8</v>
      </c>
      <c r="N13" s="2"/>
      <c r="O13" s="24" t="s">
        <v>42</v>
      </c>
      <c r="P13" s="9" t="s">
        <v>36</v>
      </c>
      <c r="Q13" s="36">
        <f>COUNTIFS(G13:G35,TRUE,D13:D35,"人材・組織")</f>
        <v>0</v>
      </c>
      <c r="R13" s="34">
        <f>COUNTIFS(運輸業編!G13:G35,FALSE,運輸業編!D13:D35,"人材・組織")*2</f>
        <v>8</v>
      </c>
      <c r="S13" s="1"/>
      <c r="T13" s="1"/>
      <c r="U13" s="306" t="s">
        <v>72</v>
      </c>
      <c r="V13" s="307"/>
      <c r="W13" s="307"/>
      <c r="X13" s="308"/>
      <c r="Y13" s="1"/>
      <c r="Z13" s="306" t="s">
        <v>88</v>
      </c>
      <c r="AA13" s="307"/>
      <c r="AB13" s="307"/>
      <c r="AC13" s="308"/>
      <c r="AD13" s="1"/>
      <c r="AF13" s="303" t="s">
        <v>43</v>
      </c>
      <c r="AG13" s="304"/>
      <c r="AH13" s="304"/>
      <c r="AI13" s="304"/>
      <c r="AJ13" s="304"/>
      <c r="AK13" s="304"/>
      <c r="AL13" s="304"/>
      <c r="AM13" s="304"/>
      <c r="AN13" s="305"/>
    </row>
    <row r="14" spans="2:40" ht="92.1" customHeight="1" x14ac:dyDescent="0.4">
      <c r="B14" s="11" t="s">
        <v>19</v>
      </c>
      <c r="C14" s="298"/>
      <c r="D14" s="21" t="s">
        <v>89</v>
      </c>
      <c r="E14" s="53" t="s">
        <v>183</v>
      </c>
      <c r="F14" s="130"/>
      <c r="G14" s="128" t="b">
        <v>0</v>
      </c>
      <c r="I14" s="1"/>
      <c r="J14" s="138" t="s">
        <v>88</v>
      </c>
      <c r="K14" s="6" t="s">
        <v>11</v>
      </c>
      <c r="L14" s="29">
        <f>COUNTIF(G17:G20,TRUE)</f>
        <v>0</v>
      </c>
      <c r="M14" s="33">
        <f>COUNTIF(運輸業編!G17:G20,FALSE)*2</f>
        <v>8</v>
      </c>
      <c r="N14" s="2"/>
      <c r="O14" s="24" t="s">
        <v>90</v>
      </c>
      <c r="P14" s="9" t="s">
        <v>37</v>
      </c>
      <c r="Q14" s="36">
        <f>COUNTIFS(G13:G35,TRUE,D13:D35,"設備・サービス")</f>
        <v>0</v>
      </c>
      <c r="R14" s="34">
        <f>COUNTIFS(運輸業編!G13:G35,FALSE,運輸業編!D13:D35,"設備・サービス")*2</f>
        <v>8</v>
      </c>
      <c r="S14" s="1"/>
      <c r="T14" s="1"/>
      <c r="U14" s="230"/>
      <c r="V14" s="231"/>
      <c r="W14" s="231"/>
      <c r="X14" s="232"/>
      <c r="Y14" s="1"/>
      <c r="Z14" s="230"/>
      <c r="AA14" s="231"/>
      <c r="AB14" s="231"/>
      <c r="AC14" s="232"/>
      <c r="AD14" s="1"/>
      <c r="AF14" s="243"/>
      <c r="AG14" s="244"/>
      <c r="AH14" s="244"/>
      <c r="AI14" s="244"/>
      <c r="AJ14" s="244"/>
      <c r="AK14" s="244"/>
      <c r="AL14" s="244"/>
      <c r="AM14" s="244"/>
      <c r="AN14" s="245"/>
    </row>
    <row r="15" spans="2:40" ht="92.1" customHeight="1" x14ac:dyDescent="0.4">
      <c r="B15" s="11" t="s">
        <v>20</v>
      </c>
      <c r="C15" s="298"/>
      <c r="D15" s="62" t="s">
        <v>9</v>
      </c>
      <c r="E15" s="53" t="s">
        <v>184</v>
      </c>
      <c r="F15" s="130"/>
      <c r="G15" s="128" t="b">
        <v>0</v>
      </c>
      <c r="I15" s="1"/>
      <c r="J15" s="19" t="s">
        <v>189</v>
      </c>
      <c r="K15" s="7" t="s">
        <v>10</v>
      </c>
      <c r="L15" s="30">
        <f>COUNTIF(G21:G24,TRUE)</f>
        <v>0</v>
      </c>
      <c r="M15" s="34">
        <f>COUNTIF(運輸業編!G21:G24,FALSE)*2</f>
        <v>8</v>
      </c>
      <c r="N15" s="2"/>
      <c r="O15" s="25" t="s">
        <v>9</v>
      </c>
      <c r="P15" s="9" t="s">
        <v>38</v>
      </c>
      <c r="Q15" s="36">
        <f>COUNTIFS(G13:G35,TRUE,D13:D35,"資金")</f>
        <v>0</v>
      </c>
      <c r="R15" s="34">
        <f>COUNTIFS(運輸業編!G13:G35,FALSE,運輸業編!D13:D35,"資金")*2</f>
        <v>8</v>
      </c>
      <c r="S15" s="1"/>
      <c r="T15" s="1"/>
      <c r="U15" s="233"/>
      <c r="V15" s="234"/>
      <c r="W15" s="234"/>
      <c r="X15" s="235"/>
      <c r="Y15" s="1"/>
      <c r="Z15" s="233"/>
      <c r="AA15" s="234"/>
      <c r="AB15" s="234"/>
      <c r="AC15" s="235"/>
      <c r="AD15" s="1"/>
      <c r="AF15" s="246"/>
      <c r="AG15" s="247"/>
      <c r="AH15" s="247"/>
      <c r="AI15" s="247"/>
      <c r="AJ15" s="247"/>
      <c r="AK15" s="247"/>
      <c r="AL15" s="247"/>
      <c r="AM15" s="247"/>
      <c r="AN15" s="248"/>
    </row>
    <row r="16" spans="2:40" ht="92.1" customHeight="1" thickBot="1" x14ac:dyDescent="0.45">
      <c r="B16" s="12" t="s">
        <v>21</v>
      </c>
      <c r="C16" s="299"/>
      <c r="D16" s="63" t="s">
        <v>0</v>
      </c>
      <c r="E16" s="54" t="s">
        <v>185</v>
      </c>
      <c r="F16" s="131"/>
      <c r="G16" s="128" t="b">
        <v>0</v>
      </c>
      <c r="I16" s="1"/>
      <c r="J16" s="20" t="s">
        <v>177</v>
      </c>
      <c r="K16" s="8" t="s">
        <v>8</v>
      </c>
      <c r="L16" s="31">
        <f>COUNTIF(G25:G35,TRUE)</f>
        <v>0</v>
      </c>
      <c r="M16" s="35">
        <f>COUNTIF(運輸業編!G25:G35,FALSE)*2</f>
        <v>8</v>
      </c>
      <c r="N16" s="2"/>
      <c r="O16" s="26" t="s">
        <v>0</v>
      </c>
      <c r="P16" s="10" t="s">
        <v>39</v>
      </c>
      <c r="Q16" s="37">
        <f>COUNTIFS(G13:G35,TRUE,D13:D35,"情報")</f>
        <v>0</v>
      </c>
      <c r="R16" s="35">
        <f>COUNTIFS(運輸業編!G13:G35,FALSE,運輸業編!D13:D35,"情報")*2</f>
        <v>8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92.1" customHeight="1" thickTop="1" x14ac:dyDescent="0.4">
      <c r="B17" s="13" t="s">
        <v>22</v>
      </c>
      <c r="C17" s="346" t="s">
        <v>88</v>
      </c>
      <c r="D17" s="64" t="s">
        <v>2</v>
      </c>
      <c r="E17" s="137" t="s">
        <v>186</v>
      </c>
      <c r="F17" s="132"/>
      <c r="G17" s="128" t="b">
        <v>0</v>
      </c>
      <c r="I17" s="1"/>
      <c r="J17" s="1"/>
      <c r="K17" s="1"/>
      <c r="L17" s="1"/>
      <c r="M17" s="27"/>
      <c r="N17" s="1"/>
      <c r="O17" s="1"/>
      <c r="P17" s="1"/>
      <c r="Q17" s="1"/>
      <c r="R17" s="1"/>
      <c r="S17" s="1"/>
      <c r="T17" s="1"/>
      <c r="U17" s="306" t="s">
        <v>189</v>
      </c>
      <c r="V17" s="307"/>
      <c r="W17" s="307"/>
      <c r="X17" s="308"/>
      <c r="Y17" s="1"/>
      <c r="Z17" s="306" t="s">
        <v>177</v>
      </c>
      <c r="AA17" s="309"/>
      <c r="AB17" s="309"/>
      <c r="AC17" s="310"/>
      <c r="AD17" s="1"/>
      <c r="AF17" s="303" t="s">
        <v>44</v>
      </c>
      <c r="AG17" s="304"/>
      <c r="AH17" s="304"/>
      <c r="AI17" s="304"/>
      <c r="AJ17" s="304"/>
      <c r="AK17" s="304"/>
      <c r="AL17" s="304"/>
      <c r="AM17" s="304"/>
      <c r="AN17" s="305"/>
    </row>
    <row r="18" spans="1:40" ht="92.1" customHeight="1" x14ac:dyDescent="0.4">
      <c r="B18" s="14" t="s">
        <v>23</v>
      </c>
      <c r="C18" s="347"/>
      <c r="D18" s="21" t="s">
        <v>89</v>
      </c>
      <c r="E18" s="137" t="s">
        <v>187</v>
      </c>
      <c r="F18" s="133"/>
      <c r="G18" s="128" t="b"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30"/>
      <c r="V18" s="231"/>
      <c r="W18" s="231"/>
      <c r="X18" s="232"/>
      <c r="Y18" s="1"/>
      <c r="Z18" s="230"/>
      <c r="AA18" s="231"/>
      <c r="AB18" s="231"/>
      <c r="AC18" s="232"/>
      <c r="AD18" s="1"/>
      <c r="AF18" s="243"/>
      <c r="AG18" s="244"/>
      <c r="AH18" s="244"/>
      <c r="AI18" s="244"/>
      <c r="AJ18" s="244"/>
      <c r="AK18" s="244"/>
      <c r="AL18" s="244"/>
      <c r="AM18" s="244"/>
      <c r="AN18" s="245"/>
    </row>
    <row r="19" spans="1:40" ht="92.1" customHeight="1" x14ac:dyDescent="0.4">
      <c r="B19" s="14" t="s">
        <v>24</v>
      </c>
      <c r="C19" s="347"/>
      <c r="D19" s="62" t="s">
        <v>9</v>
      </c>
      <c r="E19" s="56" t="s">
        <v>188</v>
      </c>
      <c r="F19" s="133"/>
      <c r="G19" s="128" t="b"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33"/>
      <c r="V19" s="234"/>
      <c r="W19" s="234"/>
      <c r="X19" s="235"/>
      <c r="Y19" s="1"/>
      <c r="Z19" s="233"/>
      <c r="AA19" s="234"/>
      <c r="AB19" s="234"/>
      <c r="AC19" s="235"/>
      <c r="AD19" s="1"/>
      <c r="AF19" s="246"/>
      <c r="AG19" s="247"/>
      <c r="AH19" s="247"/>
      <c r="AI19" s="247"/>
      <c r="AJ19" s="247"/>
      <c r="AK19" s="247"/>
      <c r="AL19" s="247"/>
      <c r="AM19" s="247"/>
      <c r="AN19" s="248"/>
    </row>
    <row r="20" spans="1:40" ht="92.1" customHeight="1" thickBot="1" x14ac:dyDescent="0.45">
      <c r="B20" s="15" t="s">
        <v>25</v>
      </c>
      <c r="C20" s="348"/>
      <c r="D20" s="63" t="s">
        <v>0</v>
      </c>
      <c r="E20" s="57" t="s">
        <v>190</v>
      </c>
      <c r="F20" s="134"/>
      <c r="G20" s="128" t="b"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92.1" customHeight="1" x14ac:dyDescent="0.4">
      <c r="B21" s="16" t="s">
        <v>26</v>
      </c>
      <c r="C21" s="297" t="s">
        <v>189</v>
      </c>
      <c r="D21" s="64" t="s">
        <v>2</v>
      </c>
      <c r="E21" s="58" t="s">
        <v>191</v>
      </c>
      <c r="F21" s="135"/>
      <c r="G21" s="128" t="b">
        <v>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300" t="s">
        <v>42</v>
      </c>
      <c r="V21" s="301"/>
      <c r="W21" s="301"/>
      <c r="X21" s="302"/>
      <c r="Y21" s="3"/>
      <c r="Z21" s="300" t="s">
        <v>89</v>
      </c>
      <c r="AA21" s="301"/>
      <c r="AB21" s="301"/>
      <c r="AC21" s="302"/>
      <c r="AD21" s="1"/>
      <c r="AF21" s="303" t="s">
        <v>45</v>
      </c>
      <c r="AG21" s="304"/>
      <c r="AH21" s="304"/>
      <c r="AI21" s="304"/>
      <c r="AJ21" s="304"/>
      <c r="AK21" s="304"/>
      <c r="AL21" s="304"/>
      <c r="AM21" s="304"/>
      <c r="AN21" s="305"/>
    </row>
    <row r="22" spans="1:40" ht="92.1" customHeight="1" x14ac:dyDescent="0.4">
      <c r="B22" s="11" t="s">
        <v>27</v>
      </c>
      <c r="C22" s="298"/>
      <c r="D22" s="21" t="s">
        <v>89</v>
      </c>
      <c r="E22" s="53" t="s">
        <v>192</v>
      </c>
      <c r="F22" s="130"/>
      <c r="G22" s="128" t="b"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213"/>
      <c r="V22" s="214"/>
      <c r="W22" s="214"/>
      <c r="X22" s="215"/>
      <c r="Y22" s="3"/>
      <c r="Z22" s="213"/>
      <c r="AA22" s="214"/>
      <c r="AB22" s="214"/>
      <c r="AC22" s="215"/>
      <c r="AD22" s="1"/>
      <c r="AF22" s="243"/>
      <c r="AG22" s="244"/>
      <c r="AH22" s="244"/>
      <c r="AI22" s="244"/>
      <c r="AJ22" s="244"/>
      <c r="AK22" s="244"/>
      <c r="AL22" s="244"/>
      <c r="AM22" s="244"/>
      <c r="AN22" s="245"/>
    </row>
    <row r="23" spans="1:40" ht="92.1" customHeight="1" x14ac:dyDescent="0.4">
      <c r="B23" s="11" t="s">
        <v>28</v>
      </c>
      <c r="C23" s="298"/>
      <c r="D23" s="62" t="s">
        <v>9</v>
      </c>
      <c r="E23" s="53" t="s">
        <v>193</v>
      </c>
      <c r="F23" s="130"/>
      <c r="G23" s="128" t="b"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216"/>
      <c r="V23" s="217"/>
      <c r="W23" s="217"/>
      <c r="X23" s="218"/>
      <c r="Y23" s="3"/>
      <c r="Z23" s="216"/>
      <c r="AA23" s="217"/>
      <c r="AB23" s="217"/>
      <c r="AC23" s="218"/>
      <c r="AD23" s="1"/>
      <c r="AF23" s="246"/>
      <c r="AG23" s="247"/>
      <c r="AH23" s="247"/>
      <c r="AI23" s="247"/>
      <c r="AJ23" s="247"/>
      <c r="AK23" s="247"/>
      <c r="AL23" s="247"/>
      <c r="AM23" s="247"/>
      <c r="AN23" s="248"/>
    </row>
    <row r="24" spans="1:40" ht="92.1" customHeight="1" thickBot="1" x14ac:dyDescent="0.45">
      <c r="B24" s="12" t="s">
        <v>29</v>
      </c>
      <c r="C24" s="299"/>
      <c r="D24" s="63" t="s">
        <v>0</v>
      </c>
      <c r="E24" s="54" t="s">
        <v>194</v>
      </c>
      <c r="F24" s="131"/>
      <c r="G24" s="128" t="b"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3"/>
      <c r="V24" s="3"/>
      <c r="W24" s="3"/>
      <c r="X24" s="3"/>
      <c r="Y24" s="3"/>
      <c r="Z24" s="3"/>
      <c r="AA24" s="3"/>
      <c r="AB24" s="3"/>
      <c r="AC24" s="3"/>
      <c r="AD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23.1" customHeight="1" x14ac:dyDescent="0.4">
      <c r="A25" s="285"/>
      <c r="B25" s="289" t="s">
        <v>30</v>
      </c>
      <c r="C25" s="318" t="s">
        <v>177</v>
      </c>
      <c r="D25" s="293" t="s">
        <v>2</v>
      </c>
      <c r="E25" s="321" t="s">
        <v>195</v>
      </c>
      <c r="F25" s="192"/>
      <c r="G25" s="140" t="b"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265" t="s">
        <v>9</v>
      </c>
      <c r="V25" s="265"/>
      <c r="W25" s="265"/>
      <c r="X25" s="265"/>
      <c r="Y25" s="3"/>
      <c r="Z25" s="265" t="s">
        <v>0</v>
      </c>
      <c r="AA25" s="265"/>
      <c r="AB25" s="265"/>
      <c r="AC25" s="265"/>
      <c r="AD25" s="1"/>
      <c r="AF25" s="169"/>
      <c r="AG25" s="266" t="s">
        <v>160</v>
      </c>
      <c r="AH25" s="267"/>
      <c r="AI25" s="267"/>
      <c r="AJ25" s="267"/>
      <c r="AK25" s="267"/>
      <c r="AL25" s="267"/>
      <c r="AM25" s="267"/>
      <c r="AN25" s="268"/>
    </row>
    <row r="26" spans="1:40" ht="23.1" customHeight="1" x14ac:dyDescent="0.4">
      <c r="A26" s="285"/>
      <c r="B26" s="286"/>
      <c r="C26" s="319"/>
      <c r="D26" s="287"/>
      <c r="E26" s="288"/>
      <c r="F26" s="193"/>
      <c r="G26" s="14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265"/>
      <c r="V26" s="265"/>
      <c r="W26" s="265"/>
      <c r="X26" s="265"/>
      <c r="Y26" s="3"/>
      <c r="Z26" s="265"/>
      <c r="AA26" s="265"/>
      <c r="AB26" s="265"/>
      <c r="AC26" s="265"/>
      <c r="AD26" s="1"/>
      <c r="AF26" s="170"/>
      <c r="AG26" s="269"/>
      <c r="AH26" s="270"/>
      <c r="AI26" s="270"/>
      <c r="AJ26" s="270"/>
      <c r="AK26" s="270"/>
      <c r="AL26" s="270"/>
      <c r="AM26" s="270"/>
      <c r="AN26" s="271"/>
    </row>
    <row r="27" spans="1:40" ht="23.1" customHeight="1" x14ac:dyDescent="0.4">
      <c r="A27" s="285"/>
      <c r="B27" s="286"/>
      <c r="C27" s="319"/>
      <c r="D27" s="287"/>
      <c r="E27" s="288"/>
      <c r="F27" s="193"/>
      <c r="G27" s="14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65"/>
      <c r="V27" s="265"/>
      <c r="W27" s="265"/>
      <c r="X27" s="265"/>
      <c r="Y27" s="3"/>
      <c r="Z27" s="265"/>
      <c r="AA27" s="265"/>
      <c r="AB27" s="265"/>
      <c r="AC27" s="265"/>
      <c r="AD27" s="1"/>
      <c r="AF27" s="177"/>
      <c r="AG27" s="272" t="s">
        <v>51</v>
      </c>
      <c r="AH27" s="272"/>
      <c r="AI27" s="272"/>
      <c r="AJ27" s="272"/>
      <c r="AK27" s="272"/>
      <c r="AL27" s="272"/>
      <c r="AM27" s="272"/>
      <c r="AN27" s="273"/>
    </row>
    <row r="28" spans="1:40" ht="23.1" customHeight="1" x14ac:dyDescent="0.4">
      <c r="A28" s="285"/>
      <c r="B28" s="251"/>
      <c r="C28" s="319"/>
      <c r="D28" s="253"/>
      <c r="E28" s="255"/>
      <c r="F28" s="149"/>
      <c r="G28" s="14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65"/>
      <c r="V28" s="265"/>
      <c r="W28" s="265"/>
      <c r="X28" s="265"/>
      <c r="Y28" s="3"/>
      <c r="Z28" s="265"/>
      <c r="AA28" s="265"/>
      <c r="AB28" s="265"/>
      <c r="AC28" s="265"/>
      <c r="AD28" s="1"/>
      <c r="AF28" s="178"/>
      <c r="AG28" s="274"/>
      <c r="AH28" s="274"/>
      <c r="AI28" s="274"/>
      <c r="AJ28" s="274"/>
      <c r="AK28" s="274"/>
      <c r="AL28" s="274"/>
      <c r="AM28" s="274"/>
      <c r="AN28" s="275"/>
    </row>
    <row r="29" spans="1:40" ht="23.1" customHeight="1" x14ac:dyDescent="0.4">
      <c r="A29" s="285"/>
      <c r="B29" s="250" t="s">
        <v>31</v>
      </c>
      <c r="C29" s="319"/>
      <c r="D29" s="322" t="s">
        <v>89</v>
      </c>
      <c r="E29" s="254" t="s">
        <v>196</v>
      </c>
      <c r="F29" s="148"/>
      <c r="G29" s="140" t="b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83"/>
      <c r="V29" s="184"/>
      <c r="W29" s="184"/>
      <c r="X29" s="185"/>
      <c r="Y29" s="3"/>
      <c r="Z29" s="183"/>
      <c r="AA29" s="184"/>
      <c r="AB29" s="184"/>
      <c r="AC29" s="185"/>
      <c r="AD29" s="1"/>
      <c r="AF29" s="164"/>
      <c r="AG29" s="259" t="s">
        <v>49</v>
      </c>
      <c r="AH29" s="259"/>
      <c r="AI29" s="259"/>
      <c r="AJ29" s="259"/>
      <c r="AK29" s="259"/>
      <c r="AL29" s="259"/>
      <c r="AM29" s="259"/>
      <c r="AN29" s="260"/>
    </row>
    <row r="30" spans="1:40" ht="23.1" customHeight="1" x14ac:dyDescent="0.4">
      <c r="A30" s="285"/>
      <c r="B30" s="286"/>
      <c r="C30" s="319"/>
      <c r="D30" s="323"/>
      <c r="E30" s="288"/>
      <c r="F30" s="193"/>
      <c r="G30" s="14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86"/>
      <c r="V30" s="187"/>
      <c r="W30" s="187"/>
      <c r="X30" s="188"/>
      <c r="Y30" s="3"/>
      <c r="Z30" s="186"/>
      <c r="AA30" s="187"/>
      <c r="AB30" s="187"/>
      <c r="AC30" s="188"/>
      <c r="AD30" s="1"/>
      <c r="AF30" s="178"/>
      <c r="AG30" s="261"/>
      <c r="AH30" s="261"/>
      <c r="AI30" s="261"/>
      <c r="AJ30" s="261"/>
      <c r="AK30" s="261"/>
      <c r="AL30" s="261"/>
      <c r="AM30" s="261"/>
      <c r="AN30" s="262"/>
    </row>
    <row r="31" spans="1:40" ht="23.1" customHeight="1" x14ac:dyDescent="0.4">
      <c r="A31" s="285"/>
      <c r="B31" s="286"/>
      <c r="C31" s="319"/>
      <c r="D31" s="323"/>
      <c r="E31" s="288"/>
      <c r="F31" s="193"/>
      <c r="G31" s="14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86"/>
      <c r="V31" s="187"/>
      <c r="W31" s="187"/>
      <c r="X31" s="188"/>
      <c r="Y31" s="3"/>
      <c r="Z31" s="186"/>
      <c r="AA31" s="187"/>
      <c r="AB31" s="187"/>
      <c r="AC31" s="188"/>
      <c r="AD31" s="1"/>
      <c r="AF31" s="164"/>
      <c r="AG31" s="259" t="s">
        <v>50</v>
      </c>
      <c r="AH31" s="259"/>
      <c r="AI31" s="259"/>
      <c r="AJ31" s="259"/>
      <c r="AK31" s="259"/>
      <c r="AL31" s="259"/>
      <c r="AM31" s="259"/>
      <c r="AN31" s="260"/>
    </row>
    <row r="32" spans="1:40" ht="23.1" customHeight="1" thickBot="1" x14ac:dyDescent="0.45">
      <c r="A32" s="285"/>
      <c r="B32" s="251"/>
      <c r="C32" s="319"/>
      <c r="D32" s="324"/>
      <c r="E32" s="255"/>
      <c r="F32" s="149"/>
      <c r="G32" s="14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86"/>
      <c r="V32" s="187"/>
      <c r="W32" s="187"/>
      <c r="X32" s="188"/>
      <c r="Y32" s="1"/>
      <c r="Z32" s="186"/>
      <c r="AA32" s="187"/>
      <c r="AB32" s="187"/>
      <c r="AC32" s="188"/>
      <c r="AD32" s="1"/>
      <c r="AF32" s="165"/>
      <c r="AG32" s="263"/>
      <c r="AH32" s="263"/>
      <c r="AI32" s="263"/>
      <c r="AJ32" s="263"/>
      <c r="AK32" s="263"/>
      <c r="AL32" s="263"/>
      <c r="AM32" s="263"/>
      <c r="AN32" s="264"/>
    </row>
    <row r="33" spans="1:40" ht="45.95" customHeight="1" thickBot="1" x14ac:dyDescent="0.45">
      <c r="A33" s="42"/>
      <c r="B33" s="250" t="s">
        <v>32</v>
      </c>
      <c r="C33" s="319"/>
      <c r="D33" s="252" t="s">
        <v>9</v>
      </c>
      <c r="E33" s="254" t="s">
        <v>197</v>
      </c>
      <c r="F33" s="148"/>
      <c r="G33" s="140" t="b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86"/>
      <c r="V33" s="187"/>
      <c r="W33" s="187"/>
      <c r="X33" s="188"/>
      <c r="Y33" s="1"/>
      <c r="Z33" s="186"/>
      <c r="AA33" s="187"/>
      <c r="AB33" s="187"/>
      <c r="AC33" s="188"/>
      <c r="AD33" s="1"/>
      <c r="AF33" s="43"/>
      <c r="AG33" s="44"/>
      <c r="AH33" s="44"/>
      <c r="AI33" s="44"/>
      <c r="AJ33" s="44"/>
      <c r="AK33" s="44"/>
      <c r="AL33" s="44"/>
      <c r="AM33" s="44"/>
      <c r="AN33" s="44"/>
    </row>
    <row r="34" spans="1:40" ht="45.95" customHeight="1" x14ac:dyDescent="0.4">
      <c r="B34" s="251"/>
      <c r="C34" s="319"/>
      <c r="D34" s="253"/>
      <c r="E34" s="255"/>
      <c r="F34" s="149"/>
      <c r="G34" s="14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89"/>
      <c r="V34" s="190"/>
      <c r="W34" s="190"/>
      <c r="X34" s="191"/>
      <c r="Y34" s="1"/>
      <c r="Z34" s="189"/>
      <c r="AA34" s="190"/>
      <c r="AB34" s="190"/>
      <c r="AC34" s="191"/>
      <c r="AD34" s="1"/>
      <c r="AF34" s="150"/>
      <c r="AG34" s="151"/>
      <c r="AH34" s="151"/>
      <c r="AI34" s="151"/>
      <c r="AJ34" s="151"/>
      <c r="AK34" s="151"/>
      <c r="AL34" s="151"/>
      <c r="AM34" s="151"/>
      <c r="AN34" s="152"/>
    </row>
    <row r="35" spans="1:40" ht="45.95" customHeight="1" thickBot="1" x14ac:dyDescent="0.45">
      <c r="B35" s="250" t="s">
        <v>33</v>
      </c>
      <c r="C35" s="319"/>
      <c r="D35" s="252" t="s">
        <v>0</v>
      </c>
      <c r="E35" s="254" t="s">
        <v>198</v>
      </c>
      <c r="F35" s="148"/>
      <c r="G35" s="140" t="b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5"/>
      <c r="V35" s="45"/>
      <c r="W35" s="45"/>
      <c r="X35" s="45"/>
      <c r="Y35" s="1"/>
      <c r="Z35" s="45"/>
      <c r="AA35" s="45"/>
      <c r="AB35" s="45"/>
      <c r="AC35" s="45"/>
      <c r="AD35" s="1"/>
      <c r="AF35" s="153"/>
      <c r="AG35" s="154"/>
      <c r="AH35" s="154"/>
      <c r="AI35" s="154"/>
      <c r="AJ35" s="154"/>
      <c r="AK35" s="154"/>
      <c r="AL35" s="154"/>
      <c r="AM35" s="154"/>
      <c r="AN35" s="155"/>
    </row>
    <row r="36" spans="1:40" ht="45.95" customHeight="1" thickBot="1" x14ac:dyDescent="0.45">
      <c r="B36" s="256"/>
      <c r="C36" s="320"/>
      <c r="D36" s="257"/>
      <c r="E36" s="258"/>
      <c r="F36" s="159"/>
      <c r="G36" s="14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49"/>
      <c r="AG36" s="249"/>
      <c r="AH36" s="249"/>
      <c r="AI36" s="249"/>
      <c r="AJ36" s="249"/>
      <c r="AK36" s="249"/>
      <c r="AL36" s="249"/>
      <c r="AM36" s="249"/>
      <c r="AN36" s="249"/>
    </row>
    <row r="37" spans="1:40" ht="56.1" customHeight="1" x14ac:dyDescent="0.3"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AF37" s="4"/>
      <c r="AG37" s="4"/>
      <c r="AH37" s="4"/>
      <c r="AI37" s="66" t="s">
        <v>46</v>
      </c>
      <c r="AJ37" s="139"/>
      <c r="AK37" s="139"/>
      <c r="AL37" s="139"/>
      <c r="AM37" s="139"/>
      <c r="AN37" s="139"/>
    </row>
    <row r="44" spans="1:40" ht="27.75" x14ac:dyDescent="0.4">
      <c r="R44" ph="1"/>
      <c r="S44" ph="1"/>
    </row>
    <row r="46" spans="1:40" ht="27.75" x14ac:dyDescent="0.4">
      <c r="R46" ph="1"/>
      <c r="S46" ph="1"/>
    </row>
  </sheetData>
  <sheetProtection sheet="1" objects="1" scenarios="1" selectLockedCells="1"/>
  <mergeCells count="63">
    <mergeCell ref="X9:Z10"/>
    <mergeCell ref="AI9:AK10"/>
    <mergeCell ref="J12:K12"/>
    <mergeCell ref="O12:P12"/>
    <mergeCell ref="C13:C16"/>
    <mergeCell ref="U13:X13"/>
    <mergeCell ref="Z13:AC13"/>
    <mergeCell ref="AF13:AN13"/>
    <mergeCell ref="U14:X15"/>
    <mergeCell ref="Z14:AC15"/>
    <mergeCell ref="AF14:AN15"/>
    <mergeCell ref="C17:C20"/>
    <mergeCell ref="U17:X17"/>
    <mergeCell ref="Z17:AC17"/>
    <mergeCell ref="AF17:AN17"/>
    <mergeCell ref="U18:X19"/>
    <mergeCell ref="Z18:AC19"/>
    <mergeCell ref="AF18:AN19"/>
    <mergeCell ref="C21:C24"/>
    <mergeCell ref="U21:X21"/>
    <mergeCell ref="Z21:AC21"/>
    <mergeCell ref="AF21:AN21"/>
    <mergeCell ref="U22:X23"/>
    <mergeCell ref="Z22:AC23"/>
    <mergeCell ref="AF22:AN23"/>
    <mergeCell ref="F25:F28"/>
    <mergeCell ref="A29:A32"/>
    <mergeCell ref="B29:B32"/>
    <mergeCell ref="D29:D32"/>
    <mergeCell ref="E29:E32"/>
    <mergeCell ref="A25:A28"/>
    <mergeCell ref="B25:B28"/>
    <mergeCell ref="C25:C36"/>
    <mergeCell ref="D25:D28"/>
    <mergeCell ref="E25:E28"/>
    <mergeCell ref="AG29:AN30"/>
    <mergeCell ref="AF31:AF32"/>
    <mergeCell ref="AG31:AN32"/>
    <mergeCell ref="G25:G28"/>
    <mergeCell ref="U25:X28"/>
    <mergeCell ref="Z25:AC28"/>
    <mergeCell ref="AF25:AF26"/>
    <mergeCell ref="AG25:AN26"/>
    <mergeCell ref="AF27:AF28"/>
    <mergeCell ref="AG27:AN28"/>
    <mergeCell ref="F29:F32"/>
    <mergeCell ref="G29:G32"/>
    <mergeCell ref="U29:X34"/>
    <mergeCell ref="Z29:AC34"/>
    <mergeCell ref="AF29:AF30"/>
    <mergeCell ref="G35:G36"/>
    <mergeCell ref="AF36:AN36"/>
    <mergeCell ref="AJ37:AN37"/>
    <mergeCell ref="B33:B34"/>
    <mergeCell ref="D33:D34"/>
    <mergeCell ref="E33:E34"/>
    <mergeCell ref="F33:F34"/>
    <mergeCell ref="G33:G34"/>
    <mergeCell ref="AF34:AN35"/>
    <mergeCell ref="B35:B36"/>
    <mergeCell ref="D35:D36"/>
    <mergeCell ref="E35:E36"/>
    <mergeCell ref="F35:F36"/>
  </mergeCells>
  <phoneticPr fontId="1"/>
  <pageMargins left="0.70866141732283472" right="0.70866141732283472" top="0.74803149606299213" bottom="0.74803149606299213" header="0.31496062992125984" footer="0.31496062992125984"/>
  <pageSetup paperSize="9" scale="39" fitToWidth="4" orientation="portrait" cellComments="asDisplayed" r:id="rId1"/>
  <colBreaks count="3" manualBreakCount="3">
    <brk id="8" max="25" man="1"/>
    <brk id="19" max="25" man="1"/>
    <brk id="30" max="2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13</xdr:row>
                    <xdr:rowOff>419100</xdr:rowOff>
                  </from>
                  <to>
                    <xdr:col>5</xdr:col>
                    <xdr:colOff>714375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locked="0" defaultSize="0" autoFill="0" autoLine="0" autoPict="0">
                <anchor moveWithCells="1">
                  <from>
                    <xdr:col>5</xdr:col>
                    <xdr:colOff>342900</xdr:colOff>
                    <xdr:row>14</xdr:row>
                    <xdr:rowOff>390525</xdr:rowOff>
                  </from>
                  <to>
                    <xdr:col>5</xdr:col>
                    <xdr:colOff>714375</xdr:colOff>
                    <xdr:row>14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heck Box 3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15</xdr:row>
                    <xdr:rowOff>361950</xdr:rowOff>
                  </from>
                  <to>
                    <xdr:col>5</xdr:col>
                    <xdr:colOff>714375</xdr:colOff>
                    <xdr:row>15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16</xdr:row>
                    <xdr:rowOff>390525</xdr:rowOff>
                  </from>
                  <to>
                    <xdr:col>5</xdr:col>
                    <xdr:colOff>714375</xdr:colOff>
                    <xdr:row>16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Check Box 5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17</xdr:row>
                    <xdr:rowOff>409575</xdr:rowOff>
                  </from>
                  <to>
                    <xdr:col>5</xdr:col>
                    <xdr:colOff>742950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Check Box 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18</xdr:row>
                    <xdr:rowOff>381000</xdr:rowOff>
                  </from>
                  <to>
                    <xdr:col>5</xdr:col>
                    <xdr:colOff>742950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Check Box 7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19</xdr:row>
                    <xdr:rowOff>409575</xdr:rowOff>
                  </from>
                  <to>
                    <xdr:col>5</xdr:col>
                    <xdr:colOff>742950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Check Box 8">
              <controlPr locked="0" defaultSize="0" autoFill="0" autoLine="0" autoPict="0">
                <anchor moveWithCells="1">
                  <from>
                    <xdr:col>5</xdr:col>
                    <xdr:colOff>381000</xdr:colOff>
                    <xdr:row>20</xdr:row>
                    <xdr:rowOff>419100</xdr:rowOff>
                  </from>
                  <to>
                    <xdr:col>5</xdr:col>
                    <xdr:colOff>762000</xdr:colOff>
                    <xdr:row>20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Check Box 9">
              <controlPr locked="0"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371475</xdr:rowOff>
                  </from>
                  <to>
                    <xdr:col>5</xdr:col>
                    <xdr:colOff>714375</xdr:colOff>
                    <xdr:row>21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22</xdr:row>
                    <xdr:rowOff>342900</xdr:rowOff>
                  </from>
                  <to>
                    <xdr:col>5</xdr:col>
                    <xdr:colOff>714375</xdr:colOff>
                    <xdr:row>22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23</xdr:row>
                    <xdr:rowOff>381000</xdr:rowOff>
                  </from>
                  <to>
                    <xdr:col>5</xdr:col>
                    <xdr:colOff>714375</xdr:colOff>
                    <xdr:row>23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Check Box 12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25</xdr:row>
                    <xdr:rowOff>152400</xdr:rowOff>
                  </from>
                  <to>
                    <xdr:col>5</xdr:col>
                    <xdr:colOff>742950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Check Box 13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152400</xdr:rowOff>
                  </from>
                  <to>
                    <xdr:col>5</xdr:col>
                    <xdr:colOff>742950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Check Box 14">
              <controlPr locked="0" defaultSize="0" autoFill="0" autoLine="0" autoPict="0">
                <anchor moveWithCells="1">
                  <from>
                    <xdr:col>5</xdr:col>
                    <xdr:colOff>390525</xdr:colOff>
                    <xdr:row>32</xdr:row>
                    <xdr:rowOff>381000</xdr:rowOff>
                  </from>
                  <to>
                    <xdr:col>5</xdr:col>
                    <xdr:colOff>742950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Check Box 15">
              <controlPr locked="0" defaultSize="0" autoFill="0" autoLine="0" autoPict="0">
                <anchor moveWithCells="1">
                  <from>
                    <xdr:col>5</xdr:col>
                    <xdr:colOff>400050</xdr:colOff>
                    <xdr:row>34</xdr:row>
                    <xdr:rowOff>419100</xdr:rowOff>
                  </from>
                  <to>
                    <xdr:col>5</xdr:col>
                    <xdr:colOff>762000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Check Box 16">
              <controlPr locked="0" defaultSize="0" autoFill="0" autoLine="0" autoPict="0">
                <anchor moveWithCells="1">
                  <from>
                    <xdr:col>5</xdr:col>
                    <xdr:colOff>361950</xdr:colOff>
                    <xdr:row>12</xdr:row>
                    <xdr:rowOff>485775</xdr:rowOff>
                  </from>
                  <to>
                    <xdr:col>5</xdr:col>
                    <xdr:colOff>714375</xdr:colOff>
                    <xdr:row>12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Check Box 17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24</xdr:row>
                    <xdr:rowOff>76200</xdr:rowOff>
                  </from>
                  <to>
                    <xdr:col>31</xdr:col>
                    <xdr:colOff>1219200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Check Box 18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26</xdr:row>
                    <xdr:rowOff>95250</xdr:rowOff>
                  </from>
                  <to>
                    <xdr:col>31</xdr:col>
                    <xdr:colOff>1219200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22" name="Check Box 19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30</xdr:row>
                    <xdr:rowOff>95250</xdr:rowOff>
                  </from>
                  <to>
                    <xdr:col>31</xdr:col>
                    <xdr:colOff>1219200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23" name="Check Box 20">
              <controlPr locked="0" defaultSize="0" autoFill="0" autoLine="0" autoPict="0">
                <anchor moveWithCells="1">
                  <from>
                    <xdr:col>31</xdr:col>
                    <xdr:colOff>619125</xdr:colOff>
                    <xdr:row>28</xdr:row>
                    <xdr:rowOff>104775</xdr:rowOff>
                  </from>
                  <to>
                    <xdr:col>31</xdr:col>
                    <xdr:colOff>1219200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24" name="Button 21">
              <controlPr locked="0" defaultSize="0" print="0" autoFill="0" autoPict="0" macro="[0]!ボタン22_Click">
                <anchor moveWithCells="1" sizeWithCells="1">
                  <from>
                    <xdr:col>4</xdr:col>
                    <xdr:colOff>5762625</xdr:colOff>
                    <xdr:row>9</xdr:row>
                    <xdr:rowOff>161925</xdr:rowOff>
                  </from>
                  <to>
                    <xdr:col>6</xdr:col>
                    <xdr:colOff>0</xdr:colOff>
                    <xdr:row>10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9</vt:i4>
      </vt:variant>
    </vt:vector>
  </HeadingPairs>
  <TitlesOfParts>
    <vt:vector size="18" baseType="lpstr">
      <vt:lpstr>製造業編</vt:lpstr>
      <vt:lpstr>卸売業編</vt:lpstr>
      <vt:lpstr>小売業編</vt:lpstr>
      <vt:lpstr>サービス業編</vt:lpstr>
      <vt:lpstr>飲食業編</vt:lpstr>
      <vt:lpstr>建設業編</vt:lpstr>
      <vt:lpstr>宿泊業編</vt:lpstr>
      <vt:lpstr>医療・福祉業編</vt:lpstr>
      <vt:lpstr>運輸業編</vt:lpstr>
      <vt:lpstr>サービス業編!Print_Area</vt:lpstr>
      <vt:lpstr>医療・福祉業編!Print_Area</vt:lpstr>
      <vt:lpstr>飲食業編!Print_Area</vt:lpstr>
      <vt:lpstr>運輸業編!Print_Area</vt:lpstr>
      <vt:lpstr>卸売業編!Print_Area</vt:lpstr>
      <vt:lpstr>建設業編!Print_Area</vt:lpstr>
      <vt:lpstr>宿泊業編!Print_Area</vt:lpstr>
      <vt:lpstr>小売業編!Print_Area</vt:lpstr>
      <vt:lpstr>製造業編!Print_Area</vt:lpstr>
    </vt:vector>
  </TitlesOfParts>
  <Company>株式会社日本政策金融公庫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cp:lastPrinted>2022-03-07T01:36:16Z</cp:lastPrinted>
  <dcterms:created xsi:type="dcterms:W3CDTF">2021-01-22T00:49:09Z</dcterms:created>
  <dcterms:modified xsi:type="dcterms:W3CDTF">2022-03-15T07:59:23Z</dcterms:modified>
</cp:coreProperties>
</file>